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505" documentId="8_{FDD42E6F-94E1-48F3-8613-54A91AB43A68}" xr6:coauthVersionLast="47" xr6:coauthVersionMax="47" xr10:uidLastSave="{D277656D-669F-4DA7-B69F-A35BD4490D47}"/>
  <bookViews>
    <workbookView xWindow="-120" yWindow="-120" windowWidth="20730" windowHeight="1104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FiltrarBancodeDados" localSheetId="4" hidden="1">'LISTA DE EMBARQUE'!$A$1:$O$5283</definedName>
    <definedName name="_xlnm._FilterDatabase" localSheetId="4" hidden="1">'LISTA DE EMBARQUE'!$A$1:$O$5283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98" i="1" l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W1196" i="1"/>
  <c r="V1196" i="1"/>
  <c r="U1196" i="1"/>
  <c r="Y1196" i="1" s="1"/>
  <c r="Q1196" i="1"/>
  <c r="H1196" i="1"/>
  <c r="S1196" i="1" s="1"/>
  <c r="T1196" i="1" s="1"/>
  <c r="W1195" i="1"/>
  <c r="V1195" i="1"/>
  <c r="U1195" i="1"/>
  <c r="Y1195" i="1" s="1"/>
  <c r="Q1195" i="1"/>
  <c r="H1195" i="1"/>
  <c r="S1195" i="1" s="1"/>
  <c r="T1195" i="1" s="1"/>
  <c r="W1194" i="1"/>
  <c r="V1194" i="1"/>
  <c r="U1194" i="1"/>
  <c r="Y1194" i="1" s="1"/>
  <c r="Q1194" i="1"/>
  <c r="H1194" i="1"/>
  <c r="R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S1192" i="1" s="1"/>
  <c r="T1192" i="1" s="1"/>
  <c r="W1191" i="1"/>
  <c r="V1191" i="1"/>
  <c r="U1191" i="1"/>
  <c r="Y1191" i="1" s="1"/>
  <c r="Q1191" i="1"/>
  <c r="H1191" i="1"/>
  <c r="W1190" i="1"/>
  <c r="V1190" i="1"/>
  <c r="U1190" i="1"/>
  <c r="Y1190" i="1" s="1"/>
  <c r="Q1190" i="1"/>
  <c r="H1190" i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Y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S1183" i="1" s="1"/>
  <c r="T1183" i="1" s="1"/>
  <c r="W1182" i="1"/>
  <c r="V1182" i="1"/>
  <c r="U1182" i="1"/>
  <c r="X1182" i="1" s="1"/>
  <c r="Q1182" i="1"/>
  <c r="H1182" i="1"/>
  <c r="S1182" i="1" s="1"/>
  <c r="T1182" i="1" s="1"/>
  <c r="W1181" i="1"/>
  <c r="V1181" i="1"/>
  <c r="U1181" i="1"/>
  <c r="Y1181" i="1" s="1"/>
  <c r="Q1181" i="1"/>
  <c r="H1181" i="1"/>
  <c r="W1180" i="1"/>
  <c r="V1180" i="1"/>
  <c r="U1180" i="1"/>
  <c r="Y1180" i="1" s="1"/>
  <c r="Q1180" i="1"/>
  <c r="H1180" i="1"/>
  <c r="R1180" i="1" s="1"/>
  <c r="X1198" i="1" l="1"/>
  <c r="Z1198" i="1" s="1"/>
  <c r="R1198" i="1"/>
  <c r="R1197" i="1"/>
  <c r="S1197" i="1"/>
  <c r="T1197" i="1" s="1"/>
  <c r="X1197" i="1"/>
  <c r="Z1197" i="1" s="1"/>
  <c r="R1196" i="1"/>
  <c r="X1196" i="1"/>
  <c r="Z1196" i="1" s="1"/>
  <c r="X1195" i="1"/>
  <c r="Z1195" i="1" s="1"/>
  <c r="R1195" i="1"/>
  <c r="Z1184" i="1"/>
  <c r="S1194" i="1"/>
  <c r="T1194" i="1" s="1"/>
  <c r="X1194" i="1"/>
  <c r="Z1194" i="1" s="1"/>
  <c r="X1193" i="1"/>
  <c r="Z1193" i="1" s="1"/>
  <c r="S1193" i="1"/>
  <c r="T1193" i="1" s="1"/>
  <c r="R1193" i="1"/>
  <c r="X1192" i="1"/>
  <c r="Z1192" i="1" s="1"/>
  <c r="R1192" i="1"/>
  <c r="R1191" i="1"/>
  <c r="S1191" i="1"/>
  <c r="T1191" i="1" s="1"/>
  <c r="X1191" i="1"/>
  <c r="Z1191" i="1" s="1"/>
  <c r="R1190" i="1"/>
  <c r="X1190" i="1"/>
  <c r="Z1190" i="1" s="1"/>
  <c r="S1190" i="1"/>
  <c r="T1190" i="1" s="1"/>
  <c r="X1189" i="1"/>
  <c r="Z1189" i="1" s="1"/>
  <c r="R1189" i="1"/>
  <c r="R1188" i="1"/>
  <c r="X1188" i="1"/>
  <c r="Z1188" i="1" s="1"/>
  <c r="X1187" i="1"/>
  <c r="Z1187" i="1" s="1"/>
  <c r="R1187" i="1"/>
  <c r="Y1186" i="1"/>
  <c r="R1186" i="1"/>
  <c r="Z1186" i="1"/>
  <c r="R1185" i="1"/>
  <c r="X1185" i="1"/>
  <c r="Z1185" i="1" s="1"/>
  <c r="Y1184" i="1"/>
  <c r="R1184" i="1"/>
  <c r="X1183" i="1"/>
  <c r="Z1183" i="1" s="1"/>
  <c r="R1183" i="1"/>
  <c r="Y1182" i="1"/>
  <c r="Z1182" i="1"/>
  <c r="R1182" i="1"/>
  <c r="R1181" i="1"/>
  <c r="X1181" i="1"/>
  <c r="Z1181" i="1" s="1"/>
  <c r="S1181" i="1"/>
  <c r="T1181" i="1" s="1"/>
  <c r="S1180" i="1"/>
  <c r="T1180" i="1" s="1"/>
  <c r="X1180" i="1"/>
  <c r="Z1180" i="1" s="1"/>
  <c r="W1179" i="1" l="1"/>
  <c r="V1179" i="1"/>
  <c r="U1179" i="1"/>
  <c r="Y1179" i="1" s="1"/>
  <c r="S1179" i="1"/>
  <c r="T1179" i="1" s="1"/>
  <c r="R1179" i="1"/>
  <c r="Q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X1177" i="1" s="1"/>
  <c r="Q1177" i="1"/>
  <c r="H1177" i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R1175" i="1" s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W1172" i="1"/>
  <c r="V1172" i="1"/>
  <c r="U1172" i="1"/>
  <c r="Y1172" i="1" s="1"/>
  <c r="Q1172" i="1"/>
  <c r="H1172" i="1"/>
  <c r="S1172" i="1" s="1"/>
  <c r="T1172" i="1" s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Y1170" i="1" s="1"/>
  <c r="Q1170" i="1"/>
  <c r="H1170" i="1"/>
  <c r="W1169" i="1"/>
  <c r="V1169" i="1"/>
  <c r="U1169" i="1"/>
  <c r="Y1169" i="1" s="1"/>
  <c r="Q1169" i="1"/>
  <c r="H1169" i="1"/>
  <c r="S1169" i="1" s="1"/>
  <c r="T1169" i="1" s="1"/>
  <c r="W1168" i="1"/>
  <c r="V1168" i="1"/>
  <c r="U1168" i="1"/>
  <c r="X1168" i="1" s="1"/>
  <c r="Q1168" i="1"/>
  <c r="H1168" i="1"/>
  <c r="S1168" i="1" s="1"/>
  <c r="T1168" i="1" s="1"/>
  <c r="Q1167" i="1"/>
  <c r="U1167" i="1"/>
  <c r="X1167" i="1" s="1"/>
  <c r="V1167" i="1"/>
  <c r="W1167" i="1"/>
  <c r="H1167" i="1"/>
  <c r="R1167" i="1" s="1"/>
  <c r="Q1166" i="1"/>
  <c r="U1166" i="1"/>
  <c r="Y1166" i="1" s="1"/>
  <c r="V1166" i="1"/>
  <c r="W1166" i="1"/>
  <c r="H1166" i="1"/>
  <c r="R1166" i="1" s="1"/>
  <c r="Q1165" i="1"/>
  <c r="U1165" i="1"/>
  <c r="X1165" i="1" s="1"/>
  <c r="V1165" i="1"/>
  <c r="W1165" i="1"/>
  <c r="H1165" i="1"/>
  <c r="R1165" i="1" s="1"/>
  <c r="Q1164" i="1"/>
  <c r="U1164" i="1"/>
  <c r="X1164" i="1" s="1"/>
  <c r="V1164" i="1"/>
  <c r="W1164" i="1"/>
  <c r="H1164" i="1"/>
  <c r="R1164" i="1" s="1"/>
  <c r="Q1163" i="1"/>
  <c r="U1163" i="1"/>
  <c r="Y1163" i="1" s="1"/>
  <c r="V1163" i="1"/>
  <c r="W1163" i="1"/>
  <c r="H1163" i="1"/>
  <c r="R1163" i="1" s="1"/>
  <c r="Q1162" i="1"/>
  <c r="U1162" i="1"/>
  <c r="Y1162" i="1" s="1"/>
  <c r="V1162" i="1"/>
  <c r="W1162" i="1"/>
  <c r="H1162" i="1"/>
  <c r="R1162" i="1" s="1"/>
  <c r="S1175" i="1" l="1"/>
  <c r="T1175" i="1" s="1"/>
  <c r="X1179" i="1"/>
  <c r="Z1179" i="1" s="1"/>
  <c r="Z1168" i="1"/>
  <c r="R1178" i="1"/>
  <c r="X1178" i="1"/>
  <c r="Z1178" i="1" s="1"/>
  <c r="Z1177" i="1"/>
  <c r="S1177" i="1"/>
  <c r="T1177" i="1" s="1"/>
  <c r="R1177" i="1"/>
  <c r="Y1177" i="1"/>
  <c r="R1176" i="1"/>
  <c r="X1176" i="1"/>
  <c r="Z1176" i="1" s="1"/>
  <c r="X1175" i="1"/>
  <c r="Z1175" i="1" s="1"/>
  <c r="X1174" i="1"/>
  <c r="Z1174" i="1" s="1"/>
  <c r="R1174" i="1"/>
  <c r="S1173" i="1"/>
  <c r="T1173" i="1" s="1"/>
  <c r="R1173" i="1"/>
  <c r="X1173" i="1"/>
  <c r="Z1173" i="1" s="1"/>
  <c r="X1172" i="1"/>
  <c r="Z1172" i="1" s="1"/>
  <c r="R1172" i="1"/>
  <c r="R1171" i="1"/>
  <c r="X1171" i="1"/>
  <c r="Z1171" i="1" s="1"/>
  <c r="R1170" i="1"/>
  <c r="S1170" i="1"/>
  <c r="T1170" i="1" s="1"/>
  <c r="X1170" i="1"/>
  <c r="Z1170" i="1" s="1"/>
  <c r="X1169" i="1"/>
  <c r="Z1169" i="1" s="1"/>
  <c r="R1169" i="1"/>
  <c r="R1168" i="1"/>
  <c r="Y1168" i="1"/>
  <c r="Y1167" i="1"/>
  <c r="S1167" i="1"/>
  <c r="T1167" i="1" s="1"/>
  <c r="Z1167" i="1"/>
  <c r="X1166" i="1"/>
  <c r="Z1166" i="1" s="1"/>
  <c r="S1166" i="1"/>
  <c r="T1166" i="1" s="1"/>
  <c r="Y1165" i="1"/>
  <c r="S1165" i="1"/>
  <c r="T1165" i="1" s="1"/>
  <c r="Z1165" i="1"/>
  <c r="Y1164" i="1"/>
  <c r="S1164" i="1"/>
  <c r="T1164" i="1" s="1"/>
  <c r="Z1164" i="1"/>
  <c r="X1163" i="1"/>
  <c r="Z1163" i="1" s="1"/>
  <c r="S1163" i="1"/>
  <c r="T1163" i="1" s="1"/>
  <c r="X1162" i="1"/>
  <c r="Z1162" i="1" s="1"/>
  <c r="S1162" i="1"/>
  <c r="T1162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1" i="1"/>
  <c r="V1161" i="1"/>
  <c r="U1161" i="1"/>
  <c r="Y1161" i="1" s="1"/>
  <c r="W1160" i="1"/>
  <c r="V1160" i="1"/>
  <c r="U1160" i="1"/>
  <c r="W1159" i="1"/>
  <c r="V1159" i="1"/>
  <c r="U1159" i="1"/>
  <c r="X1159" i="1" s="1"/>
  <c r="W1158" i="1"/>
  <c r="V1158" i="1"/>
  <c r="U1158" i="1"/>
  <c r="W1157" i="1"/>
  <c r="V1157" i="1"/>
  <c r="U1157" i="1"/>
  <c r="W1156" i="1"/>
  <c r="V1156" i="1"/>
  <c r="U1156" i="1"/>
  <c r="W1155" i="1"/>
  <c r="V1155" i="1"/>
  <c r="U1155" i="1"/>
  <c r="W1154" i="1"/>
  <c r="V1154" i="1"/>
  <c r="U1154" i="1"/>
  <c r="Y1154" i="1" s="1"/>
  <c r="W1153" i="1"/>
  <c r="V1153" i="1"/>
  <c r="U1153" i="1"/>
  <c r="W1152" i="1"/>
  <c r="V1152" i="1"/>
  <c r="U1152" i="1"/>
  <c r="W1151" i="1"/>
  <c r="V1151" i="1"/>
  <c r="U1151" i="1"/>
  <c r="W1150" i="1"/>
  <c r="V1150" i="1"/>
  <c r="U1150" i="1"/>
  <c r="W1149" i="1"/>
  <c r="V1149" i="1"/>
  <c r="U1149" i="1"/>
  <c r="W1148" i="1"/>
  <c r="V1148" i="1"/>
  <c r="U1148" i="1"/>
  <c r="W1147" i="1"/>
  <c r="V1147" i="1"/>
  <c r="U1147" i="1"/>
  <c r="W1146" i="1"/>
  <c r="V1146" i="1"/>
  <c r="U1146" i="1"/>
  <c r="Y1146" i="1" s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W1110" i="1"/>
  <c r="V1110" i="1"/>
  <c r="U1110" i="1"/>
  <c r="W1109" i="1"/>
  <c r="V1109" i="1"/>
  <c r="U1109" i="1"/>
  <c r="W1108" i="1"/>
  <c r="V1108" i="1"/>
  <c r="U1108" i="1"/>
  <c r="Y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X1105" i="1" s="1"/>
  <c r="W1104" i="1"/>
  <c r="V1104" i="1"/>
  <c r="U1104" i="1"/>
  <c r="Y1104" i="1" s="1"/>
  <c r="W1103" i="1"/>
  <c r="V1103" i="1"/>
  <c r="U1103" i="1"/>
  <c r="X1103" i="1" s="1"/>
  <c r="W1102" i="1"/>
  <c r="V1102" i="1"/>
  <c r="U1102" i="1"/>
  <c r="Y1102" i="1" s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3" i="1"/>
  <c r="V1083" i="1"/>
  <c r="U1083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V873" i="1"/>
  <c r="U873" i="1"/>
  <c r="W872" i="1"/>
  <c r="V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1" i="1"/>
  <c r="R1161" i="1"/>
  <c r="S1161" i="1"/>
  <c r="T1161" i="1" s="1"/>
  <c r="Q1109" i="1"/>
  <c r="Y1109" i="1"/>
  <c r="H1109" i="1"/>
  <c r="S1109" i="1" s="1"/>
  <c r="T1109" i="1" s="1"/>
  <c r="Q1108" i="1"/>
  <c r="H1108" i="1"/>
  <c r="R1108" i="1" s="1"/>
  <c r="Q1107" i="1"/>
  <c r="H1107" i="1"/>
  <c r="R1107" i="1" s="1"/>
  <c r="Q1106" i="1"/>
  <c r="H1106" i="1"/>
  <c r="S1106" i="1" s="1"/>
  <c r="T1106" i="1" s="1"/>
  <c r="Q1105" i="1"/>
  <c r="H1105" i="1"/>
  <c r="R1105" i="1" s="1"/>
  <c r="Q1104" i="1"/>
  <c r="H1104" i="1"/>
  <c r="S1104" i="1" s="1"/>
  <c r="T1104" i="1" s="1"/>
  <c r="Q1103" i="1"/>
  <c r="H1103" i="1"/>
  <c r="R1103" i="1" s="1"/>
  <c r="Q1102" i="1"/>
  <c r="H1102" i="1"/>
  <c r="R1102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1" i="1"/>
  <c r="H1111" i="1"/>
  <c r="Q1160" i="1"/>
  <c r="X1160" i="1"/>
  <c r="H1160" i="1"/>
  <c r="S1160" i="1" s="1"/>
  <c r="T1160" i="1" s="1"/>
  <c r="Q1159" i="1"/>
  <c r="H1159" i="1"/>
  <c r="S1159" i="1" s="1"/>
  <c r="T1159" i="1" s="1"/>
  <c r="Q1158" i="1"/>
  <c r="X1158" i="1"/>
  <c r="H1158" i="1"/>
  <c r="R1158" i="1" s="1"/>
  <c r="Q1157" i="1"/>
  <c r="X1157" i="1"/>
  <c r="H1157" i="1"/>
  <c r="S1157" i="1" s="1"/>
  <c r="T1157" i="1" s="1"/>
  <c r="Q1156" i="1"/>
  <c r="X1156" i="1"/>
  <c r="H1156" i="1"/>
  <c r="S1156" i="1" s="1"/>
  <c r="T1156" i="1" s="1"/>
  <c r="Q1155" i="1"/>
  <c r="X1155" i="1"/>
  <c r="H1155" i="1"/>
  <c r="R1155" i="1" s="1"/>
  <c r="Q1154" i="1"/>
  <c r="H1154" i="1"/>
  <c r="R1154" i="1" s="1"/>
  <c r="Q1153" i="1"/>
  <c r="X1153" i="1"/>
  <c r="H1153" i="1"/>
  <c r="S1153" i="1" s="1"/>
  <c r="T1153" i="1" s="1"/>
  <c r="Q1152" i="1"/>
  <c r="Y1152" i="1"/>
  <c r="H1152" i="1"/>
  <c r="S1152" i="1" s="1"/>
  <c r="T1152" i="1" s="1"/>
  <c r="Q1151" i="1"/>
  <c r="X1151" i="1"/>
  <c r="H1151" i="1"/>
  <c r="R1151" i="1" s="1"/>
  <c r="Q1150" i="1"/>
  <c r="X1150" i="1"/>
  <c r="H1150" i="1"/>
  <c r="S1150" i="1" s="1"/>
  <c r="T1150" i="1" s="1"/>
  <c r="Q1149" i="1"/>
  <c r="X1149" i="1"/>
  <c r="H1149" i="1"/>
  <c r="R1149" i="1" s="1"/>
  <c r="Q1148" i="1"/>
  <c r="Y1148" i="1"/>
  <c r="H1148" i="1"/>
  <c r="R1148" i="1" s="1"/>
  <c r="Q1147" i="1"/>
  <c r="Y1147" i="1"/>
  <c r="H1147" i="1"/>
  <c r="R1147" i="1" s="1"/>
  <c r="Q1146" i="1"/>
  <c r="H1146" i="1"/>
  <c r="R1146" i="1" s="1"/>
  <c r="X1161" i="1" l="1"/>
  <c r="Z1161" i="1" s="1"/>
  <c r="Z1105" i="1"/>
  <c r="R1109" i="1"/>
  <c r="X1109" i="1"/>
  <c r="Z1109" i="1" s="1"/>
  <c r="X1108" i="1"/>
  <c r="Z1108" i="1" s="1"/>
  <c r="Z1106" i="1"/>
  <c r="S1108" i="1"/>
  <c r="T1108" i="1" s="1"/>
  <c r="S1107" i="1"/>
  <c r="T1107" i="1" s="1"/>
  <c r="X1107" i="1"/>
  <c r="Z1107" i="1" s="1"/>
  <c r="R1106" i="1"/>
  <c r="Y1106" i="1"/>
  <c r="S1105" i="1"/>
  <c r="T1105" i="1" s="1"/>
  <c r="Y1105" i="1"/>
  <c r="R1104" i="1"/>
  <c r="X1104" i="1"/>
  <c r="Z1104" i="1" s="1"/>
  <c r="Y1103" i="1"/>
  <c r="S1103" i="1"/>
  <c r="T1103" i="1" s="1"/>
  <c r="Z1103" i="1"/>
  <c r="X1102" i="1"/>
  <c r="Z1102" i="1" s="1"/>
  <c r="S1102" i="1"/>
  <c r="T1102" i="1" s="1"/>
  <c r="Z1160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1" i="1"/>
  <c r="Z1111" i="1" s="1"/>
  <c r="Y1111" i="1"/>
  <c r="R1111" i="1"/>
  <c r="S1111" i="1"/>
  <c r="T1111" i="1" s="1"/>
  <c r="Z1159" i="1"/>
  <c r="R1159" i="1"/>
  <c r="R1160" i="1"/>
  <c r="Y1160" i="1"/>
  <c r="Y1159" i="1"/>
  <c r="Y1158" i="1"/>
  <c r="S1158" i="1"/>
  <c r="T1158" i="1" s="1"/>
  <c r="Z1158" i="1"/>
  <c r="Z1157" i="1"/>
  <c r="Z1156" i="1"/>
  <c r="Z1150" i="1"/>
  <c r="R1156" i="1"/>
  <c r="R1157" i="1"/>
  <c r="Y1157" i="1"/>
  <c r="Y1156" i="1"/>
  <c r="Y1155" i="1"/>
  <c r="S1155" i="1"/>
  <c r="T1155" i="1" s="1"/>
  <c r="Z1155" i="1"/>
  <c r="X1154" i="1"/>
  <c r="Z1154" i="1" s="1"/>
  <c r="S1154" i="1"/>
  <c r="T1154" i="1" s="1"/>
  <c r="R1153" i="1"/>
  <c r="Z1153" i="1"/>
  <c r="Y1153" i="1"/>
  <c r="R1152" i="1"/>
  <c r="X1152" i="1"/>
  <c r="Z1152" i="1" s="1"/>
  <c r="S1151" i="1"/>
  <c r="T1151" i="1" s="1"/>
  <c r="Z1151" i="1"/>
  <c r="Y1151" i="1"/>
  <c r="R1150" i="1"/>
  <c r="Y1150" i="1"/>
  <c r="Y1149" i="1"/>
  <c r="S1149" i="1"/>
  <c r="T1149" i="1" s="1"/>
  <c r="Z1149" i="1"/>
  <c r="X1148" i="1"/>
  <c r="Z1148" i="1" s="1"/>
  <c r="S1148" i="1"/>
  <c r="T1148" i="1" s="1"/>
  <c r="X1147" i="1"/>
  <c r="Z1147" i="1" s="1"/>
  <c r="S1147" i="1"/>
  <c r="T1147" i="1" s="1"/>
  <c r="X1146" i="1"/>
  <c r="Z1146" i="1" s="1"/>
  <c r="S1146" i="1"/>
  <c r="T1146" i="1" s="1"/>
  <c r="H1145" i="1"/>
  <c r="R1145" i="1" s="1"/>
  <c r="Q1145" i="1"/>
  <c r="X1145" i="1"/>
  <c r="H1144" i="1"/>
  <c r="R1144" i="1" s="1"/>
  <c r="Q1144" i="1"/>
  <c r="Y1144" i="1"/>
  <c r="Q1143" i="1"/>
  <c r="Y1143" i="1"/>
  <c r="H1143" i="1"/>
  <c r="R1143" i="1" s="1"/>
  <c r="Q1142" i="1"/>
  <c r="Y1142" i="1"/>
  <c r="H1142" i="1"/>
  <c r="R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S1138" i="1" s="1"/>
  <c r="T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R1132" i="1" s="1"/>
  <c r="Q1131" i="1"/>
  <c r="Y1131" i="1"/>
  <c r="H1131" i="1"/>
  <c r="R1131" i="1" s="1"/>
  <c r="Q1130" i="1"/>
  <c r="Y1130" i="1"/>
  <c r="H1130" i="1"/>
  <c r="S1130" i="1" s="1"/>
  <c r="T1130" i="1" s="1"/>
  <c r="Q1129" i="1"/>
  <c r="Y1129" i="1"/>
  <c r="H1129" i="1"/>
  <c r="S1129" i="1" s="1"/>
  <c r="T1129" i="1" s="1"/>
  <c r="Q1128" i="1"/>
  <c r="Y1128" i="1"/>
  <c r="H1128" i="1"/>
  <c r="R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R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S1121" i="1" s="1"/>
  <c r="T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R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3" i="1"/>
  <c r="Y1113" i="1"/>
  <c r="H1113" i="1"/>
  <c r="S1113" i="1" s="1"/>
  <c r="T1113" i="1" s="1"/>
  <c r="Q1112" i="1"/>
  <c r="Y1112" i="1"/>
  <c r="H1112" i="1"/>
  <c r="S1112" i="1" s="1"/>
  <c r="T1112" i="1" s="1"/>
  <c r="Q1110" i="1"/>
  <c r="Y1110" i="1"/>
  <c r="H1110" i="1"/>
  <c r="R1110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1" i="1"/>
  <c r="Q1101" i="1"/>
  <c r="H1101" i="1"/>
  <c r="Y1100" i="1"/>
  <c r="Q1100" i="1"/>
  <c r="H1100" i="1"/>
  <c r="Y1099" i="1"/>
  <c r="Q1099" i="1"/>
  <c r="H1099" i="1"/>
  <c r="R1099" i="1" s="1"/>
  <c r="Y1098" i="1"/>
  <c r="Q1098" i="1"/>
  <c r="H1098" i="1"/>
  <c r="Y1097" i="1"/>
  <c r="Q1097" i="1"/>
  <c r="H1097" i="1"/>
  <c r="R1097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5" i="1" l="1"/>
  <c r="T1145" i="1" s="1"/>
  <c r="Z1145" i="1"/>
  <c r="Y1145" i="1"/>
  <c r="X1144" i="1"/>
  <c r="Z1144" i="1" s="1"/>
  <c r="S1144" i="1"/>
  <c r="T1144" i="1" s="1"/>
  <c r="X1143" i="1"/>
  <c r="Z1143" i="1" s="1"/>
  <c r="S1143" i="1"/>
  <c r="T1143" i="1" s="1"/>
  <c r="X1142" i="1"/>
  <c r="Z1142" i="1" s="1"/>
  <c r="S1142" i="1"/>
  <c r="T1142" i="1" s="1"/>
  <c r="R1141" i="1"/>
  <c r="X1141" i="1"/>
  <c r="Z1141" i="1" s="1"/>
  <c r="R1140" i="1"/>
  <c r="X1140" i="1"/>
  <c r="Z1140" i="1" s="1"/>
  <c r="R1139" i="1"/>
  <c r="X1139" i="1"/>
  <c r="Z1139" i="1" s="1"/>
  <c r="R1135" i="1"/>
  <c r="R1138" i="1"/>
  <c r="X1138" i="1"/>
  <c r="Z1138" i="1" s="1"/>
  <c r="R1137" i="1"/>
  <c r="X1137" i="1"/>
  <c r="Z1137" i="1" s="1"/>
  <c r="X1135" i="1"/>
  <c r="Z1135" i="1" s="1"/>
  <c r="X1136" i="1"/>
  <c r="Z1136" i="1" s="1"/>
  <c r="S1136" i="1"/>
  <c r="T1136" i="1" s="1"/>
  <c r="X1134" i="1"/>
  <c r="Z1134" i="1" s="1"/>
  <c r="S1134" i="1"/>
  <c r="T1134" i="1" s="1"/>
  <c r="R1133" i="1"/>
  <c r="X1133" i="1"/>
  <c r="Z1133" i="1" s="1"/>
  <c r="X1132" i="1"/>
  <c r="Z1132" i="1" s="1"/>
  <c r="S1132" i="1"/>
  <c r="T1132" i="1" s="1"/>
  <c r="X1131" i="1"/>
  <c r="Z1131" i="1" s="1"/>
  <c r="S1131" i="1"/>
  <c r="T1131" i="1" s="1"/>
  <c r="R1130" i="1"/>
  <c r="X1130" i="1"/>
  <c r="Z1130" i="1" s="1"/>
  <c r="R1129" i="1"/>
  <c r="X1129" i="1"/>
  <c r="Z1129" i="1" s="1"/>
  <c r="X1128" i="1"/>
  <c r="Z1128" i="1" s="1"/>
  <c r="S1128" i="1"/>
  <c r="T1128" i="1" s="1"/>
  <c r="X1127" i="1"/>
  <c r="Z1127" i="1" s="1"/>
  <c r="S1127" i="1"/>
  <c r="T1127" i="1" s="1"/>
  <c r="R1126" i="1"/>
  <c r="X1126" i="1"/>
  <c r="Z1126" i="1" s="1"/>
  <c r="R1125" i="1"/>
  <c r="X1125" i="1"/>
  <c r="Z1125" i="1" s="1"/>
  <c r="X1124" i="1"/>
  <c r="Z1124" i="1" s="1"/>
  <c r="S1124" i="1"/>
  <c r="T1124" i="1" s="1"/>
  <c r="R1123" i="1"/>
  <c r="X1123" i="1"/>
  <c r="Z1123" i="1" s="1"/>
  <c r="X1122" i="1"/>
  <c r="Z1122" i="1" s="1"/>
  <c r="R1122" i="1"/>
  <c r="R1121" i="1"/>
  <c r="X1121" i="1"/>
  <c r="Z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X1117" i="1"/>
  <c r="Z1117" i="1" s="1"/>
  <c r="S1117" i="1"/>
  <c r="T1117" i="1" s="1"/>
  <c r="R1116" i="1"/>
  <c r="X1116" i="1"/>
  <c r="Z1116" i="1" s="1"/>
  <c r="R1115" i="1"/>
  <c r="X1115" i="1"/>
  <c r="Z1115" i="1" s="1"/>
  <c r="R1114" i="1"/>
  <c r="X1114" i="1"/>
  <c r="Z1114" i="1" s="1"/>
  <c r="R1113" i="1"/>
  <c r="X1113" i="1"/>
  <c r="Z1113" i="1" s="1"/>
  <c r="R1112" i="1"/>
  <c r="X1112" i="1"/>
  <c r="Z1112" i="1" s="1"/>
  <c r="X1110" i="1"/>
  <c r="Z1110" i="1" s="1"/>
  <c r="S1110" i="1"/>
  <c r="T1110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1" i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R1098" i="1"/>
  <c r="S1098" i="1"/>
  <c r="T1098" i="1" s="1"/>
  <c r="X1098" i="1"/>
  <c r="Z1098" i="1" s="1"/>
  <c r="S1097" i="1"/>
  <c r="T1097" i="1" s="1"/>
  <c r="X1097" i="1"/>
  <c r="Z1097" i="1" s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3" i="1"/>
  <c r="H1083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Y1093" i="1"/>
  <c r="X1093" i="1"/>
  <c r="Z1093" i="1" s="1"/>
  <c r="R1093" i="1"/>
  <c r="S1093" i="1"/>
  <c r="T1093" i="1" s="1"/>
  <c r="Y1092" i="1"/>
  <c r="X1092" i="1"/>
  <c r="Z1092" i="1" s="1"/>
  <c r="R1092" i="1"/>
  <c r="S1092" i="1"/>
  <c r="T1092" i="1" s="1"/>
  <c r="X1091" i="1"/>
  <c r="Z1091" i="1" s="1"/>
  <c r="Y1091" i="1"/>
  <c r="R1091" i="1"/>
  <c r="S1091" i="1"/>
  <c r="T1091" i="1" s="1"/>
  <c r="X1090" i="1"/>
  <c r="Z1090" i="1" s="1"/>
  <c r="Y1090" i="1"/>
  <c r="R1090" i="1"/>
  <c r="S1090" i="1"/>
  <c r="T1090" i="1" s="1"/>
  <c r="Y1089" i="1"/>
  <c r="X1089" i="1"/>
  <c r="Z1089" i="1" s="1"/>
  <c r="R1089" i="1"/>
  <c r="S1089" i="1"/>
  <c r="T1089" i="1" s="1"/>
  <c r="Y1088" i="1"/>
  <c r="X1088" i="1"/>
  <c r="Z1088" i="1" s="1"/>
  <c r="R1088" i="1"/>
  <c r="S1088" i="1"/>
  <c r="T1088" i="1" s="1"/>
  <c r="X1087" i="1"/>
  <c r="Z1087" i="1" s="1"/>
  <c r="Y1087" i="1"/>
  <c r="R1087" i="1"/>
  <c r="S1087" i="1"/>
  <c r="T1087" i="1" s="1"/>
  <c r="X1086" i="1"/>
  <c r="Z1086" i="1" s="1"/>
  <c r="Y1086" i="1"/>
  <c r="R1086" i="1"/>
  <c r="S1086" i="1"/>
  <c r="T1086" i="1" s="1"/>
  <c r="X1085" i="1"/>
  <c r="Z1085" i="1" s="1"/>
  <c r="Y1085" i="1"/>
  <c r="R1085" i="1"/>
  <c r="S1085" i="1"/>
  <c r="T1085" i="1" s="1"/>
  <c r="Y1084" i="1"/>
  <c r="X1084" i="1"/>
  <c r="Z1084" i="1" s="1"/>
  <c r="R1084" i="1"/>
  <c r="S1084" i="1"/>
  <c r="T1084" i="1" s="1"/>
  <c r="Y1083" i="1"/>
  <c r="X1083" i="1"/>
  <c r="Z1083" i="1" s="1"/>
  <c r="R1083" i="1"/>
  <c r="S1083" i="1"/>
  <c r="T1083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AU439" i="1" s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0" i="1" l="1"/>
  <c r="AT440" i="1" s="1"/>
  <c r="AV443" i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<sst xmlns="http://schemas.openxmlformats.org/spreadsheetml/2006/main" count="33229" uniqueCount="5694">
  <si>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</si>
  <si>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</si>
  <si>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</si>
  <si>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</si>
  <si>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</si>
  <si>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</si>
  <si>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</si>
  <si>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</si>
  <si>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</si>
  <si>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</si>
  <si>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</si>
  <si>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</si>
  <si>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</si>
  <si>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</si>
  <si>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</si>
  <si>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</si>
  <si>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</si>
  <si>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</si>
  <si>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</si>
  <si>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</si>
  <si>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</si>
  <si>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</si>
  <si>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</si>
  <si>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</si>
  <si>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</si>
  <si>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</si>
  <si>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</si>
  <si>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</si>
  <si>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</si>
  <si>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</si>
  <si>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</si>
  <si>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</si>
  <si>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</si>
  <si>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</si>
  <si>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</si>
  <si>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</si>
  <si>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</si>
  <si>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</si>
  <si>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</si>
  <si>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</si>
  <si>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</si>
  <si>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</si>
  <si>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</si>
  <si>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</si>
  <si>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</si>
  <si>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</si>
  <si>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</si>
  <si>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</si>
  <si>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</si>
  <si>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</si>
  <si>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</si>
  <si>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</si>
  <si>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</si>
  <si>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</si>
  <si>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</si>
  <si>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</si>
  <si>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</si>
  <si>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</si>
  <si>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</si>
  <si>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</si>
  <si>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</si>
  <si>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</si>
  <si>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</si>
  <si>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</si>
  <si>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</si>
  <si>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</si>
  <si>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</si>
  <si>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</si>
  <si>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</si>
  <si>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</si>
  <si>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</si>
  <si>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</si>
  <si>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</si>
  <si>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</si>
  <si>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</si>
  <si>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</si>
  <si>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</si>
  <si>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</si>
  <si>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</si>
  <si>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</si>
  <si>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</si>
  <si>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</si>
  <si>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</si>
  <si>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</si>
  <si>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</si>
  <si>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</si>
  <si>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</si>
  <si>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</si>
  <si>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</si>
  <si>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</si>
  <si>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</si>
  <si>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</si>
  <si>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</si>
  <si>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</si>
  <si>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</si>
  <si>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</si>
  <si>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</si>
  <si>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</si>
  <si>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</si>
  <si>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</si>
  <si>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</si>
  <si>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</si>
  <si>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</si>
  <si>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</si>
  <si>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</si>
  <si>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</si>
  <si>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</si>
  <si>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</si>
  <si>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</si>
  <si>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</si>
  <si>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</si>
  <si>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</si>
  <si>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</si>
  <si>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</si>
  <si>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</si>
  <si>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</si>
  <si>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</si>
  <si>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</si>
  <si>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</si>
  <si>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</si>
  <si>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</si>
  <si>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</si>
  <si>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</si>
  <si>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</si>
  <si>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</si>
  <si>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</si>
  <si>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</si>
  <si>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</si>
  <si>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</si>
  <si>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</si>
  <si>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</si>
  <si>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</si>
  <si>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</si>
  <si>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</si>
  <si>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</si>
  <si>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</si>
  <si>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</si>
  <si>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</si>
  <si>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</si>
  <si>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</si>
  <si>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</si>
  <si>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</si>
  <si>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</si>
  <si>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</si>
  <si>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</si>
  <si>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</si>
  <si>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</si>
  <si>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</si>
  <si>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</si>
  <si>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</si>
  <si>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</si>
  <si>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</si>
  <si>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</si>
  <si>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</si>
  <si>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</si>
  <si>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</si>
  <si>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</si>
  <si>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</si>
  <si>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</si>
  <si>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</si>
  <si>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</si>
  <si>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</si>
  <si>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</si>
  <si>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</si>
  <si>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</si>
  <si>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</si>
  <si>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</si>
  <si>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</si>
  <si>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</si>
  <si>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</si>
  <si>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</si>
  <si>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</si>
  <si>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</si>
  <si>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</si>
  <si>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</si>
  <si>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</si>
  <si>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</si>
  <si>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</si>
  <si>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</si>
  <si>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</si>
  <si>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</si>
  <si>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</si>
  <si>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</si>
  <si>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</si>
  <si>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</si>
  <si>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</si>
  <si>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</si>
  <si>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</si>
  <si>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</si>
  <si>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</si>
  <si>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</si>
  <si>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</si>
  <si>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</si>
  <si>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</si>
  <si>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</si>
  <si>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</si>
  <si>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</si>
  <si>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</si>
  <si>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</si>
  <si>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</si>
  <si>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</si>
  <si>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</si>
  <si>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</si>
  <si>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</si>
  <si>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</si>
  <si>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</si>
  <si>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</si>
  <si>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</si>
  <si>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</si>
  <si>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</si>
  <si>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</si>
  <si>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</si>
  <si>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</si>
  <si>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</si>
  <si>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</si>
  <si>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</si>
  <si>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</si>
  <si>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</si>
  <si>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</si>
  <si>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</si>
  <si>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</si>
  <si>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</si>
  <si>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</si>
  <si>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</si>
  <si>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</si>
  <si>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</si>
  <si>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</si>
  <si>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</si>
  <si>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</si>
  <si>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</si>
  <si>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</si>
  <si>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</si>
  <si>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</si>
  <si>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</si>
  <si>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</si>
  <si>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</si>
  <si>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</si>
  <si>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</si>
  <si>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</si>
  <si>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</si>
  <si>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</si>
  <si>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</si>
  <si>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</si>
  <si>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</si>
  <si>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</si>
  <si>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</si>
  <si>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</si>
  <si>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</si>
  <si>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</si>
  <si>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</si>
  <si>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</si>
  <si>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</si>
  <si>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</si>
  <si>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</si>
  <si>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</si>
  <si>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</si>
  <si>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</si>
  <si>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</si>
  <si>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</si>
  <si>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</si>
  <si>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</si>
  <si>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</si>
  <si>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</si>
  <si>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</si>
  <si>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</si>
  <si>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</si>
  <si>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</si>
  <si>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</si>
  <si>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</si>
  <si>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</si>
  <si>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</si>
  <si>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</si>
  <si>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</si>
  <si>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</si>
  <si>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</si>
  <si>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</si>
  <si>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</si>
  <si>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</si>
  <si>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</si>
  <si>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</si>
  <si>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</si>
  <si>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</si>
  <si>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</si>
  <si>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</si>
  <si>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</si>
  <si>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</si>
  <si>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</si>
  <si>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</si>
  <si>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</si>
  <si>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</si>
  <si>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</si>
  <si>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</si>
  <si>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</si>
  <si>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</si>
  <si>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</si>
  <si>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</si>
  <si>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</si>
  <si>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</si>
  <si>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</si>
  <si>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</si>
  <si>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</si>
  <si>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</si>
  <si>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</si>
  <si>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</si>
  <si>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</si>
  <si>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</si>
  <si>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</si>
  <si>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</si>
  <si>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</si>
  <si>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</si>
  <si>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</si>
  <si>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</si>
  <si>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</si>
  <si>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</si>
  <si>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</si>
  <si>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</si>
  <si>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</si>
  <si>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</si>
  <si>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</si>
  <si>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</si>
  <si>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</si>
  <si>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</si>
  <si>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</si>
  <si>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</si>
  <si>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</si>
  <si>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</si>
  <si>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</si>
  <si>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</si>
  <si>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</si>
  <si>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</si>
  <si>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</si>
  <si>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</si>
  <si>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</si>
  <si>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</si>
  <si>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</si>
  <si>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</si>
  <si>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</si>
  <si>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</si>
  <si>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</si>
  <si>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</si>
  <si>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</si>
  <si>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</si>
  <si>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</si>
  <si>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</si>
  <si>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</si>
  <si>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</si>
  <si>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</si>
  <si>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</si>
  <si>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</si>
  <si>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</si>
  <si>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</si>
  <si>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</si>
  <si>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</si>
  <si>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</si>
  <si>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</si>
  <si>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</si>
  <si>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</si>
  <si>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</si>
  <si>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</si>
  <si>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</si>
  <si>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</si>
  <si>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</si>
  <si>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</si>
  <si>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</si>
  <si>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</si>
  <si>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</si>
  <si>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</si>
  <si>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</si>
  <si>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</si>
  <si>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</si>
  <si>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</si>
  <si>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</si>
  <si>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</si>
  <si>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</si>
  <si>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</si>
  <si>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</si>
  <si>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</si>
  <si>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</si>
  <si>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</si>
  <si>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</si>
  <si>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</si>
  <si>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</si>
  <si>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</si>
  <si>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</si>
  <si>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</si>
  <si>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</si>
  <si>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</si>
  <si>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</si>
  <si>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</si>
  <si>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</si>
  <si>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</si>
  <si>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</si>
  <si>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</si>
  <si>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</si>
  <si>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</si>
  <si>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</si>
  <si>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</si>
  <si>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</si>
  <si>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</si>
  <si>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</si>
  <si>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</si>
  <si>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</si>
  <si>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</si>
  <si>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</si>
  <si>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</si>
  <si>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</si>
  <si>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</si>
  <si>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</si>
  <si>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</si>
  <si>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</si>
  <si>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</si>
  <si>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</si>
  <si>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</si>
  <si>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</si>
  <si>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</si>
  <si>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</si>
  <si>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</si>
  <si>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</si>
  <si>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</si>
  <si>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</si>
  <si>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</si>
  <si>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</si>
  <si>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</si>
  <si>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</si>
  <si>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</si>
  <si>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</si>
  <si>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</si>
  <si>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</si>
  <si>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</si>
  <si>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</si>
  <si>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</si>
  <si>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</si>
  <si>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</si>
  <si>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</si>
  <si>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</si>
  <si>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</si>
  <si>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</si>
  <si>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</si>
  <si>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</si>
  <si>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</si>
  <si>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</si>
  <si>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</si>
  <si>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</si>
  <si>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</si>
  <si>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</si>
  <si>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</si>
  <si>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</si>
  <si>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</si>
  <si>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</si>
  <si>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</si>
  <si>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</si>
  <si>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</si>
  <si>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</si>
  <si>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</si>
  <si>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</si>
  <si>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</si>
  <si>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</si>
  <si>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</si>
  <si>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</si>
  <si>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</si>
  <si>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</si>
  <si>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</si>
  <si>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</si>
  <si>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</si>
  <si>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</si>
  <si>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</si>
  <si>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</si>
  <si>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</si>
  <si>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</si>
  <si>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</si>
  <si>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</si>
  <si>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</si>
  <si>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</si>
  <si>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</si>
  <si>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</si>
  <si>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</si>
  <si>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</si>
  <si>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</si>
  <si>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</si>
  <si>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</si>
  <si>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</si>
  <si>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</si>
  <si>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</si>
  <si>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</si>
  <si>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</si>
  <si>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</si>
  <si>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</si>
  <si>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</si>
  <si>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</si>
  <si>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</si>
  <si>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</si>
  <si>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</si>
  <si>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</si>
  <si>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</si>
  <si>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</si>
  <si>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</si>
  <si>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</si>
  <si>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</si>
  <si>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</si>
  <si>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</si>
  <si>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</si>
  <si>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</si>
  <si>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</si>
  <si>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</si>
  <si>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</si>
  <si>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</si>
  <si>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</si>
  <si>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</si>
  <si>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</si>
  <si>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</si>
  <si>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</si>
  <si>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</si>
  <si>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</si>
  <si>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</si>
  <si>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</si>
  <si>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</si>
  <si>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</si>
  <si>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</si>
  <si>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</si>
  <si>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</si>
  <si>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</si>
  <si>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</si>
  <si>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</si>
  <si>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</si>
  <si>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</si>
  <si>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</si>
  <si>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</si>
  <si>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</si>
  <si>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</si>
  <si>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</si>
  <si>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</si>
  <si>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</si>
  <si>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</si>
  <si>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</si>
  <si>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</si>
  <si>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</si>
  <si>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</si>
  <si>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</si>
  <si>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</si>
  <si>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</si>
  <si>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</si>
  <si>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</si>
  <si>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</si>
  <si>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</si>
  <si>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</si>
  <si>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</si>
  <si>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</si>
  <si>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</si>
  <si>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</si>
  <si>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</si>
  <si>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</si>
  <si>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</si>
  <si>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</si>
  <si>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</si>
  <si>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</si>
  <si>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</si>
  <si>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</si>
  <si>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</si>
  <si>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</si>
  <si>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</si>
  <si>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</si>
  <si>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</si>
  <si>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</si>
  <si>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</si>
  <si>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</si>
  <si>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</si>
  <si>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</si>
  <si>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</si>
  <si>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</si>
  <si>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</si>
  <si>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</si>
  <si>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</si>
  <si>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</si>
  <si>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</si>
  <si>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</si>
  <si>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</si>
  <si>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</si>
  <si>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</si>
  <si>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</si>
  <si>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</si>
  <si>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</si>
  <si>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</si>
  <si>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</si>
  <si>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</si>
  <si>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</si>
  <si>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</si>
  <si>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</si>
  <si>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</si>
  <si>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</si>
  <si>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</si>
  <si>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</si>
  <si>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</si>
  <si>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</si>
  <si>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</si>
  <si>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</si>
  <si>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</si>
  <si>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</si>
  <si>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</si>
  <si>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</si>
  <si>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</si>
  <si>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</si>
  <si>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</si>
  <si>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</si>
  <si>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</si>
  <si>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</si>
  <si>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</si>
  <si>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</si>
  <si>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</si>
  <si>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</si>
  <si>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</si>
  <si>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</si>
  <si>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</si>
  <si>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</si>
  <si>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</si>
  <si>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</si>
  <si>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</si>
  <si>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</si>
  <si>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</si>
  <si>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</si>
  <si>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</si>
  <si>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</si>
  <si>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</si>
  <si>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</si>
  <si>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</si>
  <si>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</si>
  <si>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</si>
  <si>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</si>
  <si>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</si>
  <si>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</si>
  <si>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</si>
  <si>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</si>
  <si>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</si>
  <si>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</si>
  <si>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</si>
  <si>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</si>
  <si>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</si>
  <si>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</si>
  <si>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</si>
  <si>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</si>
  <si>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</si>
  <si>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</si>
  <si>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</si>
  <si>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</si>
  <si>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</si>
  <si>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</si>
  <si>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</si>
  <si>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</si>
  <si>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</si>
  <si>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</si>
  <si>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</si>
  <si>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</si>
  <si>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</si>
  <si>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</si>
  <si>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</si>
  <si>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</si>
  <si>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</si>
  <si>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</si>
  <si>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</si>
  <si>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</si>
  <si>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</si>
  <si>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</si>
  <si>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</si>
  <si>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</si>
  <si>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</si>
  <si>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</si>
  <si>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</si>
  <si>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</si>
  <si>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</si>
  <si>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</si>
  <si>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</si>
  <si>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</si>
  <si>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</si>
  <si>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</si>
  <si>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</si>
  <si>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</si>
  <si>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</si>
  <si>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</si>
  <si>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</si>
  <si>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</si>
  <si>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</si>
  <si>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</si>
  <si>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</si>
  <si>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</si>
  <si>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</si>
  <si>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</si>
  <si>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</si>
  <si>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</si>
  <si>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</si>
  <si>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</si>
  <si>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</si>
  <si>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</si>
  <si>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</si>
  <si>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</si>
  <si>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</si>
  <si>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</si>
  <si>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</si>
  <si>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</si>
  <si>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</si>
  <si>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</si>
  <si>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</si>
  <si>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</si>
  <si>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</si>
  <si>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</si>
  <si>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</si>
  <si>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</si>
  <si>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</si>
  <si>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</si>
  <si>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</si>
  <si>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</si>
  <si>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</si>
  <si>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</si>
  <si>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</si>
  <si>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</si>
  <si>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</si>
  <si>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</si>
  <si>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</si>
  <si>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</si>
  <si>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</si>
  <si>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</si>
  <si>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</si>
  <si>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</si>
  <si>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</si>
  <si>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</si>
  <si>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</si>
  <si>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</si>
  <si>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</si>
  <si>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</si>
  <si>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</si>
  <si>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</si>
  <si>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</si>
  <si>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</si>
  <si>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</si>
  <si>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</si>
  <si>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</si>
  <si>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</si>
  <si>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</si>
  <si>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</si>
  <si>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</si>
  <si>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</si>
  <si>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</si>
  <si>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</si>
  <si>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</si>
  <si>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</si>
  <si>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</si>
  <si>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</si>
  <si>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</si>
  <si>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</si>
  <si>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</si>
  <si>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</si>
  <si>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</si>
  <si>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</si>
  <si>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</si>
  <si>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</si>
  <si>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</si>
  <si>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</si>
  <si>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</si>
  <si>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</si>
  <si>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</si>
  <si>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</si>
  <si>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</si>
  <si>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</si>
  <si>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</si>
  <si>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</si>
  <si>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</si>
  <si>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</si>
  <si>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</si>
  <si>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</si>
  <si>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</si>
  <si>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</si>
  <si>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</si>
  <si>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</si>
  <si>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</si>
  <si>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</si>
  <si>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</si>
  <si>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</si>
  <si>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</si>
  <si>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</si>
  <si>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</si>
  <si>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</si>
  <si>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</si>
  <si>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</si>
  <si>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</si>
  <si>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</si>
  <si>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</si>
  <si>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</si>
  <si>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</si>
  <si>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</si>
  <si>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</si>
  <si>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</si>
  <si>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</si>
  <si>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</si>
  <si>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</si>
  <si>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</si>
  <si>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</si>
  <si>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</si>
  <si>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</si>
  <si>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</si>
  <si>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</si>
  <si>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</si>
  <si>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</si>
  <si>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</si>
  <si>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</si>
  <si>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</si>
  <si>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</si>
  <si>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</si>
  <si>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</si>
  <si>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</si>
  <si>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</si>
  <si>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</si>
  <si>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</si>
  <si>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</si>
  <si>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</si>
  <si>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</si>
  <si>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</si>
  <si>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</si>
  <si>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</si>
  <si>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</si>
  <si>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</si>
  <si>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</si>
  <si>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</si>
  <si>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</si>
  <si>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</si>
  <si>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</si>
  <si>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</si>
  <si>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</si>
  <si>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</si>
  <si>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</si>
  <si>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</si>
  <si>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</si>
  <si>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</si>
  <si>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</si>
  <si>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</si>
  <si>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</si>
  <si>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</si>
  <si>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</si>
  <si>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</si>
  <si>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</si>
  <si>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</si>
  <si>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</si>
  <si>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</si>
  <si>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</si>
  <si>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</si>
  <si>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</si>
  <si>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</si>
  <si>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</si>
  <si>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</si>
  <si>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</si>
  <si>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</si>
  <si>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</si>
  <si>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</si>
  <si>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</si>
  <si>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</si>
  <si>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</si>
  <si>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</si>
  <si>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</si>
  <si>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</si>
  <si>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</si>
  <si>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</si>
  <si>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</si>
  <si>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</si>
  <si>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</si>
  <si>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</si>
  <si>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</si>
  <si>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</si>
  <si>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</si>
  <si>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</si>
  <si>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</si>
  <si>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</si>
  <si>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</si>
  <si>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</si>
  <si>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</si>
  <si>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</si>
  <si>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</si>
  <si>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</si>
  <si>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</si>
  <si>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</si>
  <si>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</si>
  <si>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</si>
  <si>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</si>
  <si>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</si>
  <si>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</si>
  <si>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</si>
  <si>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</si>
  <si>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</si>
  <si>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</si>
  <si>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</si>
  <si>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</si>
  <si>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</si>
  <si>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</si>
  <si>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</si>
  <si>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</si>
  <si>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</si>
  <si>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</si>
  <si>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</si>
  <si>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</si>
  <si>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</si>
  <si>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</si>
  <si>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</si>
  <si>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</si>
  <si>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</si>
  <si>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</si>
  <si>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</si>
  <si>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</si>
  <si>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</si>
  <si>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</si>
  <si>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</si>
  <si>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</si>
  <si>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</si>
  <si>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</si>
  <si>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</si>
  <si>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</si>
  <si>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</si>
  <si>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</si>
  <si>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</si>
  <si>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</si>
  <si>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</si>
  <si>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</si>
  <si>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</si>
  <si>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</si>
  <si>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</si>
  <si>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</si>
  <si>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</si>
  <si>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</si>
  <si>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</si>
  <si>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</si>
  <si>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</si>
  <si>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</si>
  <si>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</si>
  <si>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</si>
  <si>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</si>
  <si>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</si>
  <si>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</si>
  <si>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</si>
  <si>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</si>
  <si>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</si>
  <si>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</si>
  <si>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</si>
  <si>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</si>
  <si>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</si>
  <si>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</si>
  <si>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</si>
  <si>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</si>
  <si>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</si>
  <si>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</si>
  <si>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</si>
  <si>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</si>
  <si>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</si>
  <si>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</si>
  <si>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</si>
  <si>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</si>
  <si>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</si>
  <si>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</si>
  <si>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</si>
  <si>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</si>
  <si>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</si>
  <si>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</si>
  <si>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</si>
  <si>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</si>
  <si>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</si>
  <si>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</si>
  <si>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</si>
  <si>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</si>
  <si>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</si>
  <si>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</si>
  <si>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</si>
  <si>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</si>
  <si>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</si>
  <si>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</si>
  <si>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</si>
  <si>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</si>
  <si>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</si>
  <si>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</si>
  <si>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</si>
  <si>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</si>
  <si>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</si>
  <si>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</si>
  <si>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</si>
  <si>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</si>
  <si>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</si>
  <si>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</si>
  <si>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</si>
  <si>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</si>
  <si>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</si>
  <si>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</si>
  <si>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</si>
  <si>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</si>
  <si>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</si>
  <si>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</si>
  <si>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</si>
  <si>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</si>
  <si>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</si>
  <si>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</si>
  <si>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</si>
  <si>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</si>
  <si>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</si>
  <si>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</si>
  <si>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</si>
  <si>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</si>
  <si>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</si>
  <si>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</si>
  <si>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</si>
  <si>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</si>
  <si>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</si>
  <si>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</si>
  <si>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</si>
  <si>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</si>
  <si>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</si>
  <si>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</si>
  <si>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</si>
  <si>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</si>
  <si>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</si>
  <si>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</si>
  <si>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</si>
  <si>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</si>
  <si>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</si>
  <si>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</si>
  <si>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</si>
  <si>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</si>
  <si>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</si>
  <si>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</si>
  <si>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</si>
  <si>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</si>
  <si>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</si>
  <si>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</si>
  <si>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</si>
  <si>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</si>
  <si>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</si>
  <si>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</si>
  <si>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</si>
  <si>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</si>
  <si>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</si>
  <si>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</si>
  <si>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</si>
  <si>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</si>
  <si>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</si>
  <si>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</si>
  <si>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</si>
  <si>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</si>
  <si>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</si>
  <si>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</si>
  <si>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</si>
  <si>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</si>
  <si>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</si>
  <si>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</si>
  <si>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</si>
  <si>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</si>
  <si>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</si>
  <si>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</si>
  <si>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</si>
  <si>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</si>
  <si>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</si>
  <si>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</si>
  <si>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</si>
  <si>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</si>
  <si>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</si>
  <si>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</si>
  <si>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</si>
  <si>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</si>
  <si>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</si>
  <si>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</si>
  <si>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</si>
  <si>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</si>
  <si>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</si>
  <si>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</si>
  <si>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</si>
  <si>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</si>
  <si>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</si>
  <si>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</si>
  <si>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</si>
  <si>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</si>
  <si>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</si>
  <si>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</si>
  <si>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</si>
  <si>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</si>
  <si>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</si>
  <si>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</si>
  <si>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</si>
  <si>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</si>
  <si>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</si>
  <si>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</si>
  <si>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</si>
  <si>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</si>
  <si>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</si>
  <si>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</si>
  <si>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</si>
  <si>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</si>
  <si>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</si>
  <si>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</si>
  <si>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</si>
  <si>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</si>
  <si>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</si>
  <si>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</si>
  <si>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</si>
  <si>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</si>
  <si>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</si>
  <si>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</si>
  <si>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</si>
  <si>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</si>
  <si>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</si>
  <si>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</si>
  <si>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</si>
  <si>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</si>
  <si>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</si>
  <si>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</si>
  <si>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</si>
  <si>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</si>
  <si>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</si>
  <si>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</si>
  <si>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</si>
  <si>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</si>
  <si>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</si>
  <si>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</si>
  <si>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</si>
  <si>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</si>
  <si>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</si>
  <si>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</si>
  <si>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</si>
  <si>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</si>
  <si>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</si>
  <si>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</si>
  <si>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</si>
  <si>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</si>
  <si>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</si>
  <si>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</si>
  <si>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</si>
  <si>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</si>
  <si>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</si>
  <si>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</si>
  <si>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</si>
  <si>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</si>
  <si>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</si>
  <si>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</si>
  <si>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</si>
  <si>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</si>
  <si>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</si>
  <si>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</si>
  <si>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</si>
  <si>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</si>
  <si>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</si>
  <si>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</si>
  <si>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</si>
  <si>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</si>
  <si>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</si>
  <si>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</si>
  <si>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</si>
  <si>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</si>
  <si>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</si>
  <si>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</si>
  <si>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</si>
  <si>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</si>
  <si>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</si>
  <si>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</si>
  <si>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</si>
  <si>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</si>
  <si>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</si>
  <si>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</si>
  <si>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</si>
  <si>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</si>
  <si>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</si>
  <si>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</si>
  <si>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</si>
  <si>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</si>
  <si>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</si>
  <si>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</si>
  <si>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</si>
  <si>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</si>
  <si>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</si>
  <si>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</si>
  <si>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</si>
  <si>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</si>
  <si>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</si>
  <si>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</si>
  <si>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</si>
  <si>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</si>
  <si>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</si>
  <si>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</si>
  <si>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</si>
  <si>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</si>
  <si>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</si>
  <si>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</si>
  <si>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</si>
  <si>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</si>
  <si>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</si>
  <si>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</si>
  <si>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</si>
  <si>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</si>
  <si>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</si>
  <si>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</si>
  <si>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</si>
  <si>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</si>
  <si>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</si>
  <si>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</si>
  <si>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</si>
  <si>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</si>
  <si>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</si>
  <si>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</si>
  <si>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</si>
  <si>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</si>
  <si>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</si>
  <si>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</si>
  <si>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</si>
  <si>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</si>
  <si>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</si>
  <si>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</si>
  <si>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</si>
  <si>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</si>
  <si>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</si>
  <si>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</si>
  <si>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</si>
  <si>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</si>
  <si>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</si>
  <si>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</si>
  <si>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</si>
  <si>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</si>
  <si>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</si>
  <si>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</si>
  <si>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</si>
  <si>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</si>
  <si>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</si>
  <si>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</si>
  <si>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</si>
  <si>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</si>
  <si>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</si>
  <si>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</si>
  <si>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</si>
  <si>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</si>
  <si>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</si>
  <si>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</si>
  <si>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</si>
  <si>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</si>
  <si>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</si>
  <si>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</si>
  <si>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</si>
  <si>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</si>
  <si>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</si>
  <si>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</si>
  <si>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</si>
  <si>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</si>
  <si>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</si>
  <si>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</si>
  <si>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</si>
  <si>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</si>
  <si>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</si>
  <si>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</si>
  <si>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</si>
  <si>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</si>
  <si>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</si>
  <si>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</si>
  <si>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</si>
  <si>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</si>
  <si>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</si>
  <si>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</si>
  <si>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</si>
  <si>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</si>
  <si>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</si>
  <si>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</si>
  <si>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</si>
  <si>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</si>
  <si>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</si>
  <si>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</si>
  <si>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</si>
  <si>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</si>
  <si>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</si>
  <si>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</si>
  <si>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</si>
  <si>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</si>
  <si>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</si>
  <si>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</si>
  <si>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</si>
  <si>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</si>
  <si>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</si>
  <si>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</si>
  <si>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</si>
  <si>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</si>
  <si>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</si>
  <si>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</si>
  <si>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</si>
  <si>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</si>
  <si>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</si>
  <si>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</si>
  <si>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</si>
  <si>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</si>
  <si>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</si>
  <si>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</si>
  <si>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</si>
  <si>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</si>
  <si>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</si>
  <si>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</si>
  <si>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</si>
  <si>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</si>
  <si>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</si>
  <si>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</si>
  <si>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</si>
  <si>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</si>
  <si>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</si>
  <si>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</si>
  <si>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</si>
  <si>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</si>
  <si>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</si>
  <si>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</si>
  <si>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</si>
  <si>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</si>
  <si>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</si>
  <si>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</si>
  <si>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</si>
  <si>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</si>
  <si>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</si>
  <si>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</si>
  <si>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</si>
  <si>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</si>
  <si>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</si>
  <si>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</si>
  <si>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</si>
  <si>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</si>
  <si>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</si>
  <si>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</si>
  <si>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</si>
  <si>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</si>
  <si>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</si>
  <si>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</si>
  <si>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</si>
  <si>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</si>
  <si>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</si>
  <si>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</si>
  <si>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</si>
  <si>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</si>
  <si>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</si>
  <si>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</si>
  <si>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</si>
  <si>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</si>
  <si>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</si>
  <si>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</si>
  <si>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</si>
  <si>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</si>
  <si>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</si>
  <si>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</si>
  <si>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</si>
  <si>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</si>
  <si>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</si>
  <si>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</si>
  <si>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</si>
  <si>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</si>
  <si>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</si>
  <si>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</si>
  <si>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</si>
  <si>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</si>
  <si>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</si>
  <si>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</si>
  <si>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</si>
  <si>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</si>
  <si>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</si>
  <si>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</si>
  <si>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</si>
  <si>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</si>
  <si>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</si>
  <si>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</si>
  <si>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</si>
  <si>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</si>
  <si>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</si>
  <si>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</si>
  <si>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</si>
  <si>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</si>
  <si>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</si>
  <si>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</si>
  <si>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</si>
  <si>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</si>
  <si>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</si>
  <si>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</si>
  <si>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</si>
  <si>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</si>
  <si>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</si>
  <si>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</si>
  <si>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</si>
  <si>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</si>
  <si>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</si>
  <si>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</si>
  <si>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</si>
  <si>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</si>
  <si>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</si>
  <si>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</si>
  <si>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</si>
  <si>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</si>
  <si>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</si>
  <si>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</si>
  <si>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</si>
  <si>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</si>
  <si>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</si>
  <si>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</si>
  <si>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</si>
  <si>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</si>
  <si>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</si>
  <si>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</si>
  <si>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</si>
  <si>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</si>
  <si>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</si>
  <si>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</si>
  <si>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</si>
  <si>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</si>
  <si>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</si>
  <si>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</si>
  <si>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</si>
  <si>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</si>
  <si>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</si>
  <si>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</si>
  <si>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</si>
  <si>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</si>
  <si>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</si>
  <si>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</si>
  <si>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</si>
  <si>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</si>
  <si>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</si>
  <si>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</si>
  <si>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</si>
  <si>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</si>
  <si>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</si>
  <si>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</si>
  <si>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</si>
  <si>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</si>
  <si>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</si>
  <si>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</si>
  <si>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</si>
  <si>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</si>
  <si>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</si>
  <si>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</si>
  <si>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</si>
  <si>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</si>
  <si>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</si>
  <si>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</si>
  <si>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</si>
  <si>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</si>
  <si>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</si>
  <si>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</si>
  <si>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</si>
  <si>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</si>
  <si>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</si>
  <si>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</si>
  <si>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</si>
  <si>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</si>
  <si>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</si>
  <si>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</si>
  <si>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</si>
  <si>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</si>
  <si>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</si>
  <si>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</si>
  <si>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</si>
  <si>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</si>
  <si>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</si>
  <si>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</si>
  <si>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</si>
  <si>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</si>
  <si>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</si>
  <si>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</si>
  <si>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</si>
  <si>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</si>
  <si>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</si>
  <si>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</si>
  <si>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</si>
  <si>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</si>
  <si>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</si>
  <si>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</si>
  <si>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</si>
  <si>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</si>
  <si>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</si>
  <si>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</si>
  <si>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</si>
  <si>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</si>
  <si>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</si>
  <si>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</si>
  <si>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</si>
  <si>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</si>
  <si>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</si>
  <si>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</si>
  <si>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</si>
  <si>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</si>
  <si>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</si>
  <si>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</si>
  <si>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</si>
  <si>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</si>
  <si>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</si>
  <si>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</si>
  <si>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</si>
  <si>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</si>
  <si>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</si>
  <si>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</si>
  <si>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</si>
  <si>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</si>
  <si>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</si>
  <si>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</si>
  <si>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</si>
  <si>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</si>
  <si>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</si>
  <si>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</si>
  <si>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</si>
  <si>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</si>
  <si>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</si>
  <si>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</si>
  <si>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</si>
  <si>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</si>
  <si>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</si>
  <si>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</si>
  <si>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</si>
  <si>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</si>
  <si>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</si>
  <si>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</si>
  <si>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</si>
  <si>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</si>
  <si>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</si>
  <si>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</si>
  <si>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</si>
  <si>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</si>
  <si>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</si>
  <si>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</si>
  <si>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</si>
  <si>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</si>
  <si>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</si>
  <si>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</si>
  <si>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</si>
  <si>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</si>
  <si>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</si>
  <si>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</si>
  <si>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</si>
  <si>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</si>
  <si>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</si>
  <si>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</si>
  <si>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</si>
  <si>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</si>
  <si>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</si>
  <si>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</si>
  <si>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</si>
  <si>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</si>
  <si>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</si>
  <si>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</si>
  <si>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</si>
  <si>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</si>
  <si>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</si>
  <si>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</si>
  <si>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</si>
  <si>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</si>
  <si>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</si>
  <si>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</si>
  <si>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</si>
  <si>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</si>
  <si>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</si>
  <si>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</si>
  <si>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</si>
  <si>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</si>
  <si>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</si>
  <si>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</si>
  <si>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</si>
  <si>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</si>
  <si>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</si>
  <si>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</si>
  <si>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</si>
  <si>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</si>
  <si>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</si>
  <si>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</si>
  <si>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</si>
  <si>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</si>
  <si>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</si>
  <si>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</si>
  <si>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</si>
  <si>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</si>
  <si>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</si>
  <si>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</si>
  <si>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</si>
  <si>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</si>
  <si>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</si>
  <si>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</si>
  <si>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</si>
  <si>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</si>
  <si>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</si>
  <si>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</si>
  <si>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</si>
  <si>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</si>
  <si>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</si>
  <si>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</si>
  <si>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</si>
  <si>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</si>
  <si>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</si>
  <si>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</si>
  <si>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</si>
  <si>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</si>
  <si>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</si>
  <si>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</si>
  <si>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</si>
  <si>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</si>
  <si>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</si>
  <si>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</si>
  <si>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</si>
  <si>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</si>
  <si>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</si>
  <si>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</si>
  <si>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</si>
  <si>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</si>
  <si>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</si>
  <si>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</si>
  <si>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</si>
  <si>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</si>
  <si>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</si>
  <si>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</si>
  <si>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</si>
  <si>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</si>
  <si>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</si>
  <si>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</si>
  <si>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</si>
  <si>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</si>
  <si>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</si>
  <si>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</si>
  <si>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</si>
  <si>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</si>
  <si>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</si>
  <si>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</si>
  <si>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</si>
  <si>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</si>
  <si>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</si>
  <si>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</si>
  <si>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</si>
  <si>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</si>
  <si>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</si>
  <si>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</si>
  <si>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</si>
  <si>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</si>
  <si>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</si>
  <si>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</si>
  <si>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</si>
  <si>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</si>
  <si>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</si>
  <si>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</si>
  <si>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</si>
  <si>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</si>
  <si>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</si>
  <si>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</si>
  <si>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</si>
  <si>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</si>
  <si>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</si>
  <si>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</si>
  <si>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</si>
  <si>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</si>
  <si>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</si>
  <si>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</si>
  <si>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</si>
  <si>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</si>
  <si>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</si>
  <si>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</si>
  <si>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</si>
  <si>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</si>
  <si>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</si>
  <si>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</si>
  <si>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</si>
  <si>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</si>
  <si>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</si>
  <si>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</si>
  <si>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</si>
  <si>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</si>
  <si>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</si>
  <si>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</si>
  <si>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</si>
  <si>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</si>
  <si>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</si>
  <si>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</si>
  <si>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</si>
  <si>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</si>
  <si>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</si>
  <si>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</si>
  <si>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</si>
  <si>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</si>
  <si>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</si>
  <si>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</si>
  <si>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</si>
  <si>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</si>
  <si>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</si>
  <si>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</si>
  <si>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</si>
  <si>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</si>
  <si>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</si>
  <si>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</si>
  <si>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</si>
  <si>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</si>
  <si>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</si>
  <si>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</si>
  <si>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</si>
  <si>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</si>
  <si>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</si>
  <si>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</si>
  <si>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</si>
  <si>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</si>
  <si>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</si>
  <si>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</si>
  <si>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</si>
  <si>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</si>
  <si>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</si>
  <si>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</si>
  <si>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</si>
  <si>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</si>
  <si>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</si>
  <si>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</si>
  <si>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</si>
  <si>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</si>
  <si>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</si>
  <si>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</si>
  <si>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</si>
  <si>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</si>
  <si>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</si>
  <si>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</si>
  <si>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</si>
  <si>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</si>
  <si>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</si>
  <si>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</si>
  <si>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</si>
  <si>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</si>
  <si>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</si>
  <si>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</si>
  <si>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</si>
  <si>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</si>
  <si>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</si>
  <si>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</si>
  <si>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</si>
  <si>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</si>
  <si>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</si>
  <si>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</si>
  <si>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</si>
  <si>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</si>
  <si>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</si>
  <si>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</si>
  <si>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</si>
  <si>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</si>
  <si>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</si>
  <si>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</si>
  <si>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</si>
  <si>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</si>
  <si>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</si>
  <si>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</si>
  <si>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</si>
  <si>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</si>
  <si>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</si>
  <si>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</si>
  <si>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</si>
  <si>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</si>
  <si>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</si>
  <si>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</si>
  <si>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</si>
  <si>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</si>
  <si>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</si>
  <si>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</si>
  <si>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</si>
  <si>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</si>
  <si>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</si>
  <si>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</si>
  <si>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</si>
  <si>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</si>
  <si>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</si>
  <si>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</si>
  <si>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</si>
  <si>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</si>
  <si>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</si>
  <si>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</si>
  <si>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</si>
  <si>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</si>
  <si>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</si>
  <si>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</si>
  <si>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</si>
  <si>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</si>
  <si>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</si>
  <si>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</si>
  <si>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</si>
  <si>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</si>
  <si>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</si>
  <si>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</si>
  <si>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</si>
  <si>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</si>
  <si>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</si>
  <si>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</si>
  <si>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</si>
  <si>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</si>
  <si>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</si>
  <si>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</si>
  <si>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</si>
  <si>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</si>
  <si>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</si>
  <si>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</si>
  <si>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</si>
  <si>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</si>
  <si>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</si>
  <si>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</si>
  <si>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</si>
  <si>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</si>
  <si>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</si>
  <si>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</si>
  <si>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</si>
  <si>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</si>
  <si>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</si>
  <si>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</si>
  <si>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</si>
  <si>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</si>
  <si>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</si>
  <si>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</si>
  <si>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</si>
  <si>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</si>
  <si>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</si>
  <si>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</si>
  <si>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</si>
  <si>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</si>
  <si>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</si>
  <si>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</si>
  <si>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</si>
  <si>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</si>
  <si>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</si>
  <si>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</si>
  <si>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</si>
  <si>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</si>
  <si>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</si>
  <si>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</si>
  <si>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</si>
  <si>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</si>
  <si>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</si>
  <si>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</si>
  <si>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</si>
  <si>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</si>
  <si>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</si>
  <si>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</si>
  <si>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</si>
  <si>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</si>
  <si>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</si>
  <si>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</si>
  <si>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</si>
  <si>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</si>
  <si>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</si>
  <si>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</si>
  <si>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</si>
  <si>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</si>
  <si>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</si>
  <si>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</si>
  <si>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</si>
  <si>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</si>
  <si>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</si>
  <si>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</si>
  <si>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</si>
  <si>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</si>
  <si>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</si>
  <si>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</si>
  <si>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</si>
  <si>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</si>
  <si>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</si>
  <si>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</si>
  <si>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</si>
  <si>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</si>
  <si>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</si>
  <si>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</si>
  <si>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</si>
  <si>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</si>
  <si>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</si>
  <si>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</si>
  <si>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</si>
  <si>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</si>
  <si>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</si>
  <si>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</si>
  <si>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</si>
  <si>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</si>
  <si>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</si>
  <si>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</si>
  <si>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</si>
  <si>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</si>
  <si>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</si>
  <si>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</si>
  <si>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</si>
  <si>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</si>
  <si>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</si>
  <si>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</si>
  <si>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</si>
  <si>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</si>
  <si>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</si>
  <si>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</si>
  <si>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</si>
  <si>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</si>
  <si>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</si>
  <si>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</si>
  <si>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</si>
  <si>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</si>
  <si>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</si>
  <si>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</si>
  <si>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</si>
  <si>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</si>
  <si>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</si>
  <si>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</si>
  <si>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</si>
  <si>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</si>
  <si>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</si>
  <si>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</si>
  <si>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</si>
  <si>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</si>
  <si>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</si>
  <si>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</si>
  <si>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</si>
  <si>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</si>
  <si>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</si>
  <si>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</si>
  <si>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</si>
  <si>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</si>
  <si>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</si>
  <si>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</si>
  <si>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</si>
  <si>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</si>
  <si>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</si>
  <si>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</si>
  <si>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</si>
  <si>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</si>
  <si>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</si>
  <si>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</si>
  <si>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</si>
  <si>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</si>
  <si>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</si>
  <si>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</si>
  <si>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</si>
  <si>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</si>
  <si>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</si>
  <si>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</si>
  <si>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</si>
  <si>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</si>
  <si>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</si>
  <si>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</si>
  <si>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</si>
  <si>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</si>
  <si>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</si>
  <si>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</si>
  <si>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</si>
  <si>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</si>
  <si>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</si>
  <si>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</si>
  <si>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</si>
  <si>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</si>
  <si>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</si>
  <si>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</si>
  <si>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</si>
  <si>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</si>
  <si>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</si>
  <si>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</si>
  <si>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</si>
  <si>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</si>
  <si>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</si>
  <si>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</si>
  <si>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</si>
  <si>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</si>
  <si>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</si>
  <si>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</si>
  <si>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</si>
  <si>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</si>
  <si>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</si>
  <si>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</si>
  <si>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</si>
  <si>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</si>
  <si>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</si>
  <si>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</si>
  <si>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</si>
  <si>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</si>
  <si>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</si>
  <si>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</si>
  <si>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</si>
  <si>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</si>
  <si>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</si>
  <si>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</si>
  <si>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</si>
  <si>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</si>
  <si>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</si>
  <si>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</si>
  <si>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</si>
  <si>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</si>
  <si>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</si>
  <si>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</si>
  <si>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</si>
  <si>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</si>
  <si>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</si>
  <si>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</si>
  <si>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</si>
  <si>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</si>
  <si>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</si>
  <si>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</si>
  <si>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</si>
  <si>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</si>
  <si>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</si>
  <si>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</si>
  <si>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</si>
  <si>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</si>
  <si>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</si>
  <si>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</si>
  <si>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</si>
  <si>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</si>
  <si>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</si>
  <si>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</si>
  <si>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</si>
  <si>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</si>
  <si>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</si>
  <si>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</si>
  <si>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</si>
  <si>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</si>
  <si>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</si>
  <si>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</si>
  <si>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</si>
  <si>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</si>
  <si>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</si>
  <si>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</si>
  <si>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</si>
  <si>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</si>
  <si>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</si>
  <si>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</si>
  <si>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</si>
  <si>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</si>
  <si>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</si>
  <si>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</si>
  <si>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</si>
  <si>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</si>
  <si>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</si>
  <si>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</si>
  <si>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</si>
  <si>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</si>
  <si>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</si>
  <si>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</si>
  <si>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</si>
  <si>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</si>
  <si>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</si>
  <si>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</si>
  <si>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</si>
  <si>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</si>
  <si>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</si>
  <si>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</si>
  <si>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</si>
  <si>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</si>
  <si>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</si>
  <si>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</si>
  <si>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</si>
  <si>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</si>
  <si>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</si>
  <si>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</si>
  <si>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</si>
  <si>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</si>
  <si>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</si>
  <si>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</si>
  <si>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</si>
  <si>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</si>
  <si>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</si>
  <si>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</si>
  <si>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</si>
  <si>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</si>
  <si>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</si>
  <si>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</si>
  <si>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</si>
  <si>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</si>
  <si>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</si>
  <si>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</si>
  <si>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</si>
  <si>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</si>
  <si>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</si>
  <si>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</si>
  <si>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</si>
  <si>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</si>
  <si>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</si>
  <si>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</si>
  <si>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</si>
  <si>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</si>
  <si>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</si>
  <si>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</si>
  <si>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</si>
  <si>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</si>
  <si>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</si>
  <si>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</si>
  <si>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</si>
  <si>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</si>
  <si>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</si>
  <si>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</si>
  <si>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</si>
  <si>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</si>
  <si>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</si>
  <si>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</si>
  <si>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</si>
  <si>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</si>
  <si>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</si>
  <si>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</si>
  <si>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</si>
  <si>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</si>
  <si>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</si>
  <si>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</si>
  <si>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</si>
  <si>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</si>
  <si>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</si>
  <si>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</si>
  <si>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</si>
  <si>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</si>
  <si>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</si>
  <si>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</si>
  <si>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</si>
  <si>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</si>
  <si>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</si>
  <si>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</si>
  <si>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</si>
  <si>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</si>
  <si>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</si>
  <si>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</si>
  <si>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</si>
  <si>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</si>
  <si>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</si>
  <si>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</si>
  <si>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</si>
  <si>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</si>
  <si>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</si>
  <si>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</si>
  <si>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</si>
  <si>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</si>
  <si>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</si>
  <si>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</si>
  <si>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</si>
  <si>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</si>
  <si>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</si>
  <si>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</si>
  <si>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</si>
  <si>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</si>
  <si>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</si>
  <si>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</si>
  <si>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</si>
  <si>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</si>
  <si>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</si>
  <si>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</si>
  <si>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</si>
  <si>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</si>
  <si>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</si>
  <si>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</si>
  <si>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</si>
  <si>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</si>
  <si>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</si>
  <si>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</si>
  <si>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</si>
  <si>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</si>
  <si>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</si>
  <si>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</si>
  <si>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</si>
  <si>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</si>
  <si>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</si>
  <si>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</si>
  <si>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</si>
  <si>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</si>
  <si>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</si>
  <si>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</si>
  <si>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</si>
  <si>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</si>
  <si>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</si>
  <si>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</si>
  <si>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</si>
  <si>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</si>
  <si>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</si>
  <si>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</si>
  <si>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</si>
  <si>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</si>
  <si>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</si>
  <si>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</si>
  <si>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</si>
  <si>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</si>
  <si>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</si>
  <si>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</si>
  <si>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</si>
  <si>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</si>
  <si>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</si>
  <si>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</si>
  <si>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</si>
  <si>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</si>
  <si>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</si>
  <si>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</si>
  <si>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</si>
  <si>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</si>
  <si>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</si>
  <si>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</si>
  <si>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</si>
  <si>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</si>
  <si>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</si>
  <si>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</si>
  <si>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</si>
  <si>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</si>
  <si>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</si>
  <si>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</si>
  <si>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</si>
  <si>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</si>
  <si>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</si>
  <si>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</si>
  <si>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</si>
  <si>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</si>
  <si>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</si>
  <si>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</si>
  <si>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</si>
  <si>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</si>
  <si>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</si>
  <si>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</si>
  <si>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</si>
  <si>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</si>
  <si>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</si>
  <si>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</si>
  <si>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</si>
  <si>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</si>
  <si>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</si>
  <si>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</si>
  <si>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</si>
  <si>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</si>
  <si>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</si>
  <si>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</si>
  <si>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</si>
  <si>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</si>
  <si>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</si>
  <si>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</si>
  <si>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</si>
  <si>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</si>
  <si>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</si>
  <si>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</si>
  <si>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</si>
  <si>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</si>
  <si>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</si>
  <si>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</si>
  <si>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</si>
  <si>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</si>
  <si>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</si>
  <si>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</si>
  <si>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</si>
  <si>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</si>
  <si>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</si>
  <si>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</si>
  <si>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</si>
  <si>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</si>
  <si>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</si>
  <si>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</si>
  <si>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</si>
  <si>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</si>
  <si>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</si>
  <si>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</si>
  <si>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</si>
  <si>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</si>
  <si>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</si>
  <si>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</si>
  <si>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</si>
  <si>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</si>
  <si>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</si>
  <si>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</si>
  <si>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</si>
  <si>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</si>
  <si>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</si>
  <si>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</si>
  <si>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</si>
  <si>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</si>
  <si>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</si>
  <si>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</si>
  <si>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</si>
  <si>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</si>
  <si>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</si>
  <si>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</si>
  <si>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</si>
  <si>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</si>
  <si>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</si>
  <si>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</si>
  <si>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</si>
  <si>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</si>
  <si>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</si>
  <si>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</si>
  <si>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</si>
  <si>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</si>
  <si>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</si>
  <si>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</si>
  <si>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</si>
  <si>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</si>
  <si>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</si>
  <si>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</si>
  <si>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</si>
  <si>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</si>
  <si>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</si>
  <si>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</si>
  <si>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</si>
  <si>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</si>
  <si>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</si>
  <si>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</si>
  <si>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</si>
  <si>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</si>
  <si>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</si>
  <si>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</si>
  <si>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</si>
  <si>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</si>
  <si>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</si>
  <si>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</si>
  <si>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</si>
  <si>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</si>
  <si>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</si>
  <si>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</si>
  <si>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</si>
  <si>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</si>
  <si>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</si>
  <si>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</si>
  <si>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</si>
  <si>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</si>
  <si>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</si>
  <si>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</si>
  <si>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</si>
  <si>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</si>
  <si>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</si>
  <si>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</si>
  <si>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</si>
  <si>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</si>
  <si>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</si>
  <si>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</si>
  <si>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</si>
  <si>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</si>
  <si>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</si>
  <si>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</si>
  <si>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</si>
  <si>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</si>
  <si>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</si>
  <si>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</si>
  <si>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</si>
  <si>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</si>
  <si>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</si>
  <si>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</si>
  <si>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</si>
  <si>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</si>
  <si>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</si>
  <si>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</si>
  <si>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</si>
  <si>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</si>
  <si>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</si>
  <si>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</si>
  <si>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</si>
  <si>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</si>
  <si>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</si>
  <si>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</si>
  <si>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</si>
  <si>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</si>
  <si>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</si>
  <si>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</si>
  <si>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</si>
  <si>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</si>
  <si>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</si>
  <si>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</si>
  <si>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</si>
  <si>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</si>
  <si>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</si>
  <si>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</si>
  <si>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</si>
  <si>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</si>
  <si>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</si>
  <si>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</si>
  <si>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</si>
  <si>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</si>
  <si>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</si>
  <si>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</si>
  <si>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</si>
  <si>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</si>
  <si>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</si>
  <si>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</si>
  <si>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</si>
  <si>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</si>
  <si>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</si>
  <si>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</si>
  <si>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</si>
  <si>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</si>
  <si>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</si>
  <si>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</si>
  <si>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</si>
  <si>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</si>
  <si>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</si>
  <si>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</si>
  <si>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</si>
  <si>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</si>
  <si>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</si>
  <si>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</si>
  <si>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</si>
  <si>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</si>
  <si>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</si>
  <si>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</si>
  <si>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</si>
  <si>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</si>
  <si>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</si>
  <si>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</si>
  <si>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</si>
  <si>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</si>
  <si>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</si>
  <si>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</si>
  <si>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</si>
  <si>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</si>
  <si>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</si>
  <si>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</si>
  <si>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</si>
  <si>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</si>
  <si>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</si>
  <si>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</si>
  <si>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</si>
  <si>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</si>
  <si>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</si>
  <si>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</si>
  <si>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</si>
  <si>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</si>
  <si>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</si>
  <si>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</si>
  <si>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</si>
  <si>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</si>
  <si>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</si>
  <si>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</si>
  <si>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</si>
  <si>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</si>
  <si>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</si>
  <si>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</si>
  <si>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</si>
  <si>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</si>
  <si>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</si>
  <si>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</si>
  <si>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</si>
  <si>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</si>
  <si>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</si>
  <si>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</si>
  <si>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</si>
  <si>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</si>
  <si>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</si>
  <si>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</si>
  <si>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</si>
  <si>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</si>
  <si>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</si>
  <si>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</si>
  <si>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</si>
  <si>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</si>
  <si>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</si>
  <si>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</si>
  <si>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</si>
  <si>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</si>
  <si>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</si>
  <si>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</si>
  <si>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</si>
  <si>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</si>
  <si>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</si>
  <si>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</si>
  <si>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</si>
  <si>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</si>
  <si>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</si>
  <si>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</si>
  <si>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</si>
  <si>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</si>
  <si>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</si>
  <si>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</si>
  <si>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</si>
  <si>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</si>
  <si>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</si>
  <si>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</si>
  <si>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</si>
  <si>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</si>
  <si>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</si>
  <si>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</si>
  <si>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</si>
  <si>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</si>
  <si>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</si>
  <si>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</si>
  <si>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</si>
  <si>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</si>
  <si>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</si>
  <si>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</si>
  <si>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</si>
  <si>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</si>
  <si>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</si>
  <si>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</si>
  <si>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</si>
  <si>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</si>
  <si>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</si>
  <si>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</si>
  <si>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</si>
  <si>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</si>
  <si>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</si>
  <si>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</si>
  <si>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</si>
  <si>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</si>
  <si>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</si>
  <si>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</si>
  <si>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</si>
  <si>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</si>
  <si>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</si>
  <si>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</si>
  <si>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</si>
  <si>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</si>
  <si>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</si>
  <si>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</si>
  <si>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</si>
  <si>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</si>
  <si>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</si>
  <si>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</si>
  <si>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</si>
  <si>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</si>
  <si>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</si>
  <si>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</si>
  <si>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</si>
  <si>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</si>
  <si>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</si>
  <si>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</si>
  <si>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</si>
  <si>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</si>
  <si>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</si>
  <si>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</si>
  <si>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</si>
  <si>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</si>
  <si>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</si>
  <si>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</si>
  <si>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</si>
  <si>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</si>
  <si>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</si>
  <si>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</si>
  <si>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</si>
  <si>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</si>
  <si>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</si>
  <si>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</si>
  <si>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</si>
  <si>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</si>
  <si>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</si>
  <si>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</si>
  <si>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</si>
  <si>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</si>
  <si>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</si>
  <si>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</si>
  <si>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</si>
  <si>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</si>
  <si>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</si>
  <si>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</si>
  <si>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</si>
  <si>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</si>
  <si>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</si>
  <si>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</si>
  <si>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</si>
  <si>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</si>
  <si>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</si>
  <si>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</si>
  <si>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</si>
  <si>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</si>
  <si>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</si>
  <si>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</si>
  <si>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</si>
  <si>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</si>
  <si>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</si>
  <si>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</si>
  <si>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</si>
  <si>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</si>
  <si>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</si>
  <si>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</si>
  <si>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</si>
  <si>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</si>
  <si>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</si>
  <si>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</si>
  <si>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</si>
  <si>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</si>
  <si>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</si>
  <si>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</si>
  <si>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</si>
  <si>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</si>
  <si>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</si>
  <si>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</si>
  <si>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</si>
  <si>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</si>
  <si>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</si>
  <si>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</si>
  <si>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</si>
  <si>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</si>
  <si>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</si>
  <si>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</si>
  <si>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</si>
  <si>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</si>
  <si>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</si>
  <si>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</si>
  <si>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</si>
  <si>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</si>
  <si>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</si>
  <si>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</si>
  <si>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</si>
  <si>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</si>
  <si>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</si>
  <si>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</si>
  <si>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</si>
  <si>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</si>
  <si>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</si>
  <si>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</si>
  <si>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</si>
  <si>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</si>
  <si>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</si>
  <si>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</si>
  <si>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</si>
  <si>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</si>
  <si>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</si>
  <si>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</si>
  <si>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</si>
  <si>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</si>
  <si>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</si>
  <si>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</si>
  <si>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</si>
  <si>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</si>
  <si>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</si>
  <si>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</si>
  <si>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</si>
  <si>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</si>
  <si>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</si>
  <si>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</si>
  <si>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</si>
  <si>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</si>
  <si>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</si>
  <si>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</si>
  <si>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</si>
  <si>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</si>
  <si>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</si>
  <si>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</si>
  <si>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</si>
  <si>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</si>
  <si>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</si>
  <si>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</si>
  <si>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</si>
  <si>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</si>
  <si>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</si>
  <si>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</si>
  <si>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</si>
  <si>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</si>
  <si>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</si>
  <si>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</si>
  <si>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</si>
  <si>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</si>
  <si>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</si>
  <si>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</si>
  <si>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</si>
  <si>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</si>
  <si>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</si>
  <si>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</si>
  <si>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</si>
  <si>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</si>
  <si>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</si>
  <si>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</si>
  <si>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</si>
  <si>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</si>
  <si>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</si>
  <si>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</si>
  <si>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</si>
  <si>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</si>
  <si>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</si>
  <si>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</si>
  <si>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</si>
  <si>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</si>
  <si>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</si>
  <si>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</si>
  <si>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</si>
  <si>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</si>
  <si>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</si>
  <si>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</si>
  <si>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</si>
  <si>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</si>
  <si>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</si>
  <si>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</si>
  <si>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</si>
  <si>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</si>
  <si>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</si>
  <si>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</si>
  <si>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</si>
  <si>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</si>
  <si>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</si>
  <si>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</si>
  <si>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</si>
  <si>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</si>
  <si>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</si>
  <si>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</si>
  <si>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</si>
  <si>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</si>
  <si>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</si>
  <si>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</si>
  <si>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</si>
  <si>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</si>
  <si>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</si>
  <si>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</si>
  <si>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</si>
  <si>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</si>
  <si>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</si>
  <si>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</si>
  <si>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</si>
  <si>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</si>
  <si>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</si>
  <si>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</si>
  <si>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</si>
  <si>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</si>
  <si>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</si>
  <si>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</si>
  <si>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</si>
  <si>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</si>
  <si>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</si>
  <si>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</si>
  <si>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</si>
  <si>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</si>
  <si>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</si>
  <si>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</si>
  <si>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</si>
  <si>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</si>
  <si>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</si>
  <si>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</si>
  <si>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</si>
  <si>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</si>
  <si>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</si>
  <si>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</si>
  <si>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</si>
  <si>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</si>
  <si>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</si>
  <si>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</si>
  <si>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</si>
  <si>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</si>
  <si>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</si>
  <si>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</si>
  <si>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</si>
  <si>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</si>
  <si>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</si>
  <si>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</si>
  <si>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</si>
  <si>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</si>
  <si>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</si>
  <si>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</si>
  <si>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</si>
  <si>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</si>
  <si>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</si>
  <si>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</si>
  <si>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</si>
  <si>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</si>
  <si>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</si>
  <si>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</si>
  <si>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</si>
  <si>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</si>
  <si>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</si>
  <si>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</si>
  <si>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</si>
  <si>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</si>
  <si>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</si>
  <si>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</si>
  <si>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</si>
  <si>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</si>
  <si>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</si>
  <si>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</si>
  <si>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</si>
  <si>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</si>
  <si>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</si>
  <si>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</si>
  <si>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</si>
  <si>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</si>
  <si>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</si>
  <si>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</si>
  <si>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</si>
  <si>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</si>
  <si>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</si>
  <si>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</si>
  <si>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</si>
  <si>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</si>
  <si>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</si>
  <si>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</si>
  <si>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</si>
  <si>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</si>
  <si>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</si>
  <si>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</si>
  <si>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</si>
  <si>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</si>
  <si>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</si>
  <si>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</si>
  <si>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</si>
  <si>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</si>
  <si>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</si>
  <si>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</si>
  <si>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</si>
  <si>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</si>
  <si>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</si>
  <si>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</si>
  <si>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</si>
  <si>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</si>
  <si>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</si>
  <si>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</si>
  <si>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</si>
  <si>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</si>
  <si>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</si>
  <si>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</si>
  <si>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</si>
  <si>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</si>
  <si>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</si>
  <si>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</si>
  <si>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</si>
  <si>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</si>
  <si>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</si>
  <si>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</si>
  <si>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</si>
  <si>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</si>
  <si>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</si>
  <si>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</si>
  <si>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</si>
  <si>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</si>
  <si>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</si>
  <si>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</si>
  <si>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</si>
  <si>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</si>
  <si>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</si>
  <si>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</si>
  <si>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</si>
  <si>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</si>
  <si>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</si>
  <si>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</si>
  <si>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</si>
  <si>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</si>
  <si>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</si>
  <si>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</si>
  <si>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</si>
  <si>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</si>
  <si>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</si>
  <si>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</si>
  <si>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</si>
  <si>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</si>
  <si>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</si>
  <si>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</si>
  <si>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</si>
  <si>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</si>
  <si>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</si>
  <si>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</si>
  <si>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</si>
  <si>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</si>
  <si>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</si>
  <si>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</si>
  <si>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</si>
  <si>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</si>
  <si>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</si>
  <si>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</si>
  <si>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</si>
  <si>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</si>
  <si>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</si>
  <si>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</si>
  <si>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</si>
  <si>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</si>
  <si>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</si>
  <si>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</si>
  <si>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</si>
  <si>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</si>
  <si>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</si>
  <si>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</si>
  <si>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</si>
  <si>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</si>
  <si>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</si>
  <si>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</si>
  <si>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</si>
  <si>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</si>
  <si>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</si>
  <si>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</si>
  <si>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</si>
  <si>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</si>
  <si>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</si>
  <si>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</si>
  <si>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</si>
  <si>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</si>
  <si>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</si>
  <si>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</si>
  <si>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</si>
  <si>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</si>
  <si>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</si>
  <si>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</si>
  <si>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</si>
  <si>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</si>
  <si>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</si>
  <si>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</si>
  <si>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</si>
  <si>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</si>
  <si>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</si>
  <si>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</si>
  <si>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</si>
  <si>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</si>
  <si>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</si>
  <si>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</si>
  <si>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</si>
  <si>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</si>
  <si>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</si>
  <si>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</si>
  <si>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</si>
  <si>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</si>
  <si>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</si>
  <si>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</si>
  <si>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</si>
  <si>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</si>
  <si>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</si>
  <si>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</si>
  <si>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</si>
  <si>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</si>
  <si>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</si>
  <si>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</si>
  <si>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</si>
  <si>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</si>
  <si>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</si>
  <si>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</si>
  <si>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</si>
  <si>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</si>
  <si>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</si>
  <si>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</si>
  <si>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</si>
  <si>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</si>
  <si>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</si>
  <si>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</si>
  <si>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</si>
  <si>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</si>
  <si>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</si>
  <si>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</si>
  <si>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</si>
  <si>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</si>
  <si>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</si>
  <si>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</si>
  <si>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</si>
  <si>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</si>
  <si>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</si>
  <si>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</si>
  <si>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</si>
  <si>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</si>
  <si>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</si>
  <si>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</si>
  <si>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</si>
  <si>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</si>
  <si>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</si>
  <si>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</si>
  <si>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</si>
  <si>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</si>
  <si>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</si>
  <si>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</si>
  <si>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</si>
  <si>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</si>
  <si>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</si>
  <si>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</si>
  <si>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</si>
  <si>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</si>
  <si>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</si>
  <si>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</si>
  <si>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</si>
  <si>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</si>
  <si>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</si>
  <si>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</si>
  <si>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</si>
  <si>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</si>
  <si>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</si>
  <si>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</si>
  <si>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</si>
  <si>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</si>
  <si>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</si>
  <si>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</si>
  <si>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</si>
  <si>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</si>
  <si>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</si>
  <si>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</si>
  <si>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</si>
  <si>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</si>
  <si>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</si>
  <si>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</si>
  <si>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</si>
  <si>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</si>
  <si>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</si>
  <si>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</si>
  <si>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</si>
  <si>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</si>
  <si>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</si>
  <si>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</si>
  <si>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</si>
  <si>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</si>
  <si>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</si>
  <si>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</si>
  <si>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</si>
  <si>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</si>
  <si>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</si>
  <si>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</si>
  <si>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</si>
  <si>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</si>
  <si>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</si>
  <si>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</si>
  <si>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</si>
  <si>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</si>
  <si>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</si>
  <si>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</si>
  <si>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</si>
  <si>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</si>
  <si>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</si>
  <si>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</si>
  <si>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</si>
  <si>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</si>
  <si>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</si>
  <si>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</si>
  <si>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</si>
  <si>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</si>
  <si>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</si>
  <si>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</si>
  <si>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</si>
  <si>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</si>
  <si>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</si>
  <si>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</si>
  <si>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</si>
  <si>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</si>
  <si>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</si>
  <si>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</si>
  <si>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</si>
  <si>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</si>
  <si>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</si>
  <si>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</si>
  <si>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</si>
  <si>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</si>
  <si>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</si>
  <si>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</si>
  <si>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</si>
  <si>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</si>
  <si>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</si>
  <si>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</si>
  <si>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</si>
  <si>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</si>
  <si>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</si>
  <si>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</si>
  <si>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</si>
  <si>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</si>
  <si>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</si>
  <si>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</si>
  <si>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</si>
  <si>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</si>
  <si>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</si>
  <si>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</si>
  <si>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</si>
  <si>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</si>
  <si>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</si>
  <si>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</si>
  <si>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</si>
  <si>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</si>
  <si>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</si>
  <si>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</si>
  <si>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</si>
  <si>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</si>
  <si>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</si>
  <si>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</si>
  <si>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</si>
  <si>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</si>
  <si>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</si>
  <si>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</si>
  <si>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</si>
  <si>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</si>
  <si>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</si>
  <si>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</si>
  <si>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</si>
  <si>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</si>
  <si>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</si>
  <si>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</si>
  <si>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</si>
  <si>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</si>
  <si>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</si>
  <si>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</si>
  <si>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</si>
  <si>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</si>
  <si>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</si>
  <si>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</si>
  <si>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</si>
  <si>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</si>
  <si>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</si>
  <si>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</si>
  <si>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</si>
  <si>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</si>
  <si>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</si>
  <si>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</si>
  <si>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</si>
  <si>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</si>
  <si>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</si>
  <si>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</si>
  <si>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</si>
  <si>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</si>
  <si>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</si>
  <si>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</si>
  <si>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</si>
  <si>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</si>
  <si>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</si>
  <si>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</si>
  <si>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</si>
  <si>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</si>
  <si>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</si>
  <si>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</si>
  <si>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</si>
  <si>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</si>
  <si>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</si>
  <si>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</si>
  <si>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</si>
  <si>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</si>
  <si>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</si>
  <si>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</si>
  <si>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</si>
  <si>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</si>
  <si>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</si>
  <si>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</si>
  <si>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</si>
  <si>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</si>
  <si>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</si>
  <si>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</si>
  <si>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</si>
  <si>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</si>
  <si>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</si>
  <si>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</si>
  <si>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</si>
  <si>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</si>
  <si>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</si>
  <si>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</si>
  <si>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</si>
  <si>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</si>
  <si>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</si>
  <si>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</si>
  <si>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</si>
  <si>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</si>
  <si>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</si>
  <si>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</si>
  <si>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</si>
  <si>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</si>
  <si>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</si>
  <si>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</si>
  <si>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</si>
  <si>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</si>
  <si>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</si>
  <si>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</si>
  <si>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</si>
  <si>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</si>
  <si>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</si>
  <si>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</si>
  <si>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</si>
  <si>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</si>
  <si>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</si>
  <si>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</si>
  <si>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</si>
  <si>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</si>
  <si>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</si>
  <si>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</si>
  <si>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</si>
  <si>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</si>
  <si>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</si>
  <si>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</si>
  <si>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</si>
  <si>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</si>
  <si>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</si>
  <si>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</si>
  <si>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</si>
  <si>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</si>
  <si>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</si>
  <si>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</si>
  <si>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</si>
  <si>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</si>
  <si>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</si>
  <si>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</si>
  <si>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</si>
  <si>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</si>
  <si>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</si>
  <si>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</si>
  <si>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</si>
  <si>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</si>
  <si>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</si>
  <si>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</si>
  <si>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</si>
  <si>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</si>
  <si>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</si>
  <si>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</si>
  <si>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</si>
  <si>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</si>
  <si>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</si>
  <si>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</si>
  <si>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</si>
  <si>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</si>
  <si>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</si>
  <si>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</si>
  <si>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</si>
  <si>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</si>
  <si>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</si>
  <si>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</si>
  <si>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</si>
  <si>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</si>
  <si>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</si>
  <si>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</si>
  <si>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</si>
  <si>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</si>
  <si>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</si>
  <si>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</si>
  <si>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</si>
  <si>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</si>
  <si>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</si>
  <si>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</si>
  <si>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</si>
  <si>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</si>
  <si>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</si>
  <si>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</si>
  <si>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</si>
  <si>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</si>
  <si>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</si>
  <si>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</si>
  <si>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</si>
  <si>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</si>
  <si>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</si>
  <si>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</si>
  <si>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</si>
  <si>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</si>
  <si>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</si>
  <si>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</si>
  <si>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</si>
  <si>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</si>
  <si>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</si>
  <si>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</si>
  <si>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</si>
  <si>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</si>
  <si>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</si>
  <si>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</si>
  <si>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</si>
  <si>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</si>
  <si>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</si>
  <si>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</si>
  <si>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</si>
  <si>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</si>
  <si>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</si>
  <si>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</si>
  <si>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</si>
  <si>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</si>
  <si>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</si>
  <si>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</si>
  <si>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</si>
  <si>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</si>
  <si>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</si>
  <si>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</si>
  <si>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</si>
  <si>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</si>
  <si>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</si>
  <si>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</si>
  <si>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</si>
  <si>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</si>
  <si>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</si>
  <si>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</si>
  <si>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</si>
  <si>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</si>
  <si>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</si>
  <si>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</si>
  <si>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</si>
  <si>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</si>
  <si>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</si>
  <si>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</si>
  <si>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</si>
  <si>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</si>
  <si>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</si>
  <si>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</si>
  <si>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</si>
  <si>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</si>
  <si>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</si>
  <si>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</si>
  <si>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</si>
  <si>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</si>
  <si>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</si>
  <si>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</si>
  <si>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</si>
  <si>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</si>
  <si>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</si>
  <si>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</si>
  <si>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</si>
  <si>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</si>
  <si>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</si>
  <si>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</si>
  <si>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</si>
  <si>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</si>
  <si>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</si>
  <si>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</si>
  <si>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</si>
  <si>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</si>
  <si>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</si>
  <si>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</si>
  <si>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</si>
  <si>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</si>
  <si>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</si>
  <si>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</si>
  <si>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</si>
  <si>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</si>
  <si>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</si>
  <si>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</si>
  <si>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</si>
  <si>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</si>
  <si>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</si>
  <si>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</si>
  <si>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</si>
  <si>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</si>
  <si>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</si>
  <si>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</si>
  <si>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</si>
  <si>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</si>
  <si>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</si>
  <si>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</si>
  <si>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</si>
  <si>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</si>
  <si>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</si>
  <si>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</si>
  <si>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</si>
  <si>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</si>
  <si>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</si>
  <si>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</si>
  <si>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</si>
  <si>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</si>
  <si>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</si>
  <si>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</si>
  <si>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</si>
  <si>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</si>
  <si>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</si>
  <si>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</si>
  <si>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</si>
  <si>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</si>
  <si>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</si>
  <si>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</si>
  <si>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</si>
  <si>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</si>
  <si>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</si>
  <si>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</si>
  <si>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</si>
  <si>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</si>
  <si>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</si>
  <si>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</si>
  <si>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</si>
  <si>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</si>
  <si>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</si>
  <si>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</si>
  <si>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</si>
  <si>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</si>
  <si>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</si>
  <si>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</si>
  <si>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</si>
  <si>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</si>
  <si>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</si>
  <si>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</si>
  <si>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</si>
  <si>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</si>
  <si>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</si>
  <si>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</si>
  <si>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</si>
  <si>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</si>
  <si>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</si>
  <si>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</si>
  <si>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</si>
  <si>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</si>
  <si>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</si>
  <si>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</si>
  <si>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</si>
  <si>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</si>
  <si>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</si>
  <si>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</si>
  <si>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</si>
  <si>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</si>
  <si>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</si>
  <si>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</si>
  <si>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</si>
  <si>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</si>
  <si>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</si>
  <si>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</si>
  <si>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</si>
  <si>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</si>
  <si>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</si>
  <si>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</si>
  <si>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</si>
  <si>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</si>
  <si>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</si>
  <si>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</si>
  <si>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</si>
  <si>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</si>
  <si>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</si>
  <si>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</si>
  <si>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</si>
  <si>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</si>
  <si>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</si>
  <si>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</si>
  <si>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</si>
  <si>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</si>
  <si>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</si>
  <si>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</si>
  <si>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</si>
  <si>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</si>
  <si>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</si>
  <si>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</si>
  <si>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</si>
  <si>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</si>
  <si>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</si>
  <si>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</si>
  <si>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</si>
  <si>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</si>
  <si>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</si>
  <si>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</si>
  <si>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</si>
  <si>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</si>
  <si>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</si>
  <si>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</si>
  <si>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</si>
  <si>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</si>
  <si>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</si>
  <si>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</si>
  <si>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</si>
  <si>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</si>
  <si>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</si>
  <si>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</si>
  <si>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</si>
  <si>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</si>
  <si>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</si>
  <si>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</si>
  <si>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</si>
  <si>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</si>
  <si>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</si>
  <si>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</si>
  <si>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</si>
  <si>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</si>
  <si>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</si>
  <si>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</si>
  <si>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</si>
  <si>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</si>
  <si>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</si>
  <si>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</si>
  <si>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</si>
  <si>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</si>
  <si>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</si>
  <si>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</si>
  <si>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</si>
  <si>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</si>
  <si>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</si>
  <si>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</si>
  <si>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</si>
  <si>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</si>
  <si>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</si>
  <si>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</si>
  <si>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</si>
  <si>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</si>
  <si>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</si>
  <si>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</si>
  <si>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</si>
  <si>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</si>
  <si>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</si>
  <si>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</si>
  <si>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</si>
  <si>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</si>
  <si>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</si>
  <si>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</si>
  <si>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</si>
  <si>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</si>
  <si>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</si>
  <si>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</si>
  <si>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</si>
  <si>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</si>
  <si>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</si>
  <si>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</si>
  <si>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</si>
  <si>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</si>
  <si>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</si>
  <si>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</si>
  <si>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</si>
  <si>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</si>
  <si>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</si>
  <si>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</si>
  <si>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</si>
  <si>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</si>
  <si>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</si>
  <si>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</si>
  <si>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</si>
  <si>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</si>
  <si>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</si>
  <si>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</si>
  <si>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</si>
  <si>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</si>
  <si>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</si>
  <si>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</si>
  <si>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</si>
  <si>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</si>
  <si>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</si>
  <si>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</si>
  <si>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</si>
  <si>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</si>
  <si>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</si>
  <si>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</si>
  <si>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</si>
  <si>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</si>
  <si>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</si>
  <si>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</si>
  <si>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</si>
  <si>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</si>
  <si>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</si>
  <si>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</si>
  <si>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</si>
  <si>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</si>
  <si>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</si>
  <si>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</si>
  <si>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</si>
  <si>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</si>
  <si>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</si>
  <si>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</si>
  <si>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</si>
  <si>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</si>
  <si>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</si>
  <si>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</si>
  <si>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</si>
  <si>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</si>
  <si>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</si>
  <si>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</si>
  <si>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</si>
  <si>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</si>
  <si>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</si>
  <si>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</si>
  <si>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</si>
  <si>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</si>
  <si>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</si>
  <si>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</si>
  <si>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</si>
  <si>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</si>
  <si>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</si>
  <si>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</si>
  <si>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</si>
  <si>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</si>
  <si>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</si>
  <si>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</si>
  <si>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</si>
  <si>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</si>
  <si>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</si>
  <si>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</si>
  <si>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</si>
  <si>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</si>
  <si>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</si>
  <si>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</si>
  <si>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</si>
  <si>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</si>
  <si>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</si>
  <si>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</si>
  <si>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</si>
  <si>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</si>
  <si>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</si>
  <si>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</si>
  <si>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</si>
  <si>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</si>
  <si>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</si>
  <si>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</si>
  <si>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</si>
  <si>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</si>
  <si>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</si>
  <si>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</si>
  <si>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</si>
  <si>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</si>
  <si>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</si>
  <si>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</si>
  <si>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</si>
  <si>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</si>
  <si>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</si>
  <si>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</si>
  <si>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</si>
  <si>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</si>
  <si>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</si>
  <si>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</si>
  <si>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</si>
  <si>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</si>
  <si>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</si>
  <si>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</si>
  <si>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</si>
  <si>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</si>
  <si>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</si>
  <si>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</si>
  <si>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</si>
  <si>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</si>
  <si>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</si>
  <si>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</si>
  <si>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</si>
  <si>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</si>
  <si>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</si>
  <si>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</si>
  <si>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</si>
  <si>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</si>
  <si>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</si>
  <si>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</si>
  <si>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</si>
  <si>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</si>
  <si>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</si>
  <si>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</si>
  <si>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</si>
  <si>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</si>
  <si>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</si>
  <si>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</si>
  <si>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</si>
  <si>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</si>
  <si>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</si>
  <si>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</si>
  <si>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</si>
  <si>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</si>
  <si>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</si>
  <si>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</si>
  <si>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</si>
  <si>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</si>
  <si>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</si>
  <si>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</si>
  <si>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</si>
  <si>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</si>
  <si>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</si>
  <si>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</si>
  <si>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</si>
  <si>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</si>
  <si>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</si>
  <si>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</si>
  <si>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</si>
  <si>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</si>
  <si>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</si>
  <si>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</si>
  <si>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</si>
  <si>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</si>
  <si>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</si>
  <si>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</si>
  <si>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</si>
  <si>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</si>
  <si>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</si>
  <si>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</si>
  <si>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</si>
  <si>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</si>
  <si>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</si>
  <si>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</si>
  <si>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</si>
  <si>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</si>
  <si>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</si>
  <si>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</si>
  <si>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</si>
  <si>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</si>
  <si>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</si>
  <si>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</si>
  <si>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</si>
  <si>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</si>
  <si>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</si>
  <si>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</si>
  <si>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</si>
  <si>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</si>
  <si>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</si>
  <si>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</si>
  <si>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</si>
  <si>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</si>
  <si>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</si>
  <si>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</si>
  <si>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</si>
  <si>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</si>
  <si>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</si>
  <si>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</si>
  <si>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</si>
  <si>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</si>
  <si>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</si>
  <si>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</si>
  <si>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</si>
  <si>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</si>
  <si>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</si>
  <si>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</si>
  <si>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</si>
  <si>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</si>
  <si>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</si>
  <si>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</si>
  <si>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</si>
  <si>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</si>
  <si>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</si>
  <si>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</si>
  <si>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</si>
  <si>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</si>
  <si>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</si>
  <si>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</si>
  <si>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</si>
  <si>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</si>
  <si>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</si>
  <si>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</si>
  <si>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</si>
  <si>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</si>
  <si>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</si>
  <si>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</si>
  <si>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</si>
  <si>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</si>
  <si>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</si>
  <si>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</si>
  <si>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</si>
  <si>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</si>
  <si>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</si>
  <si>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</si>
  <si>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</si>
  <si>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</si>
  <si>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</si>
  <si>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</si>
  <si>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</si>
  <si>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</si>
  <si>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</si>
  <si>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</si>
  <si>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</si>
  <si>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</si>
  <si>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</si>
  <si>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</si>
  <si>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</si>
  <si>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</si>
  <si>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</si>
  <si>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</si>
  <si>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</si>
  <si>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</si>
  <si>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</si>
  <si>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</si>
  <si>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</si>
  <si>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</si>
  <si>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</si>
  <si>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</si>
  <si>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</si>
  <si>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</si>
  <si>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</si>
  <si>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</si>
  <si>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</si>
  <si>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</si>
  <si>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</si>
  <si>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</si>
  <si>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</si>
  <si>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</si>
  <si>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</si>
  <si>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</si>
  <si>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</si>
  <si>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</si>
  <si>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</si>
  <si>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</si>
  <si>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</si>
  <si>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</si>
  <si>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</si>
  <si>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</si>
  <si>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</si>
  <si>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</si>
  <si>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</si>
  <si>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</si>
  <si>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</si>
  <si>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</si>
  <si>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</si>
  <si>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</si>
  <si>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</si>
  <si>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</si>
  <si>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</si>
  <si>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</si>
  <si>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</si>
  <si>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</si>
  <si>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</si>
  <si>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</si>
  <si>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</si>
  <si>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</si>
  <si>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</si>
  <si>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</si>
  <si>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</si>
  <si>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</si>
  <si>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</si>
  <si>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</si>
  <si>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</si>
  <si>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</si>
  <si>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</si>
  <si>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</si>
  <si>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</si>
  <si>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</si>
  <si>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</si>
  <si>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</si>
  <si>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</si>
  <si>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</si>
  <si>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</si>
  <si>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</si>
  <si>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</si>
  <si>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</si>
  <si>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</si>
  <si>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</si>
  <si>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</si>
  <si>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</si>
  <si>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</si>
  <si>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</si>
  <si>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</si>
  <si>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</si>
  <si>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</si>
  <si>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</si>
  <si>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</si>
  <si>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</si>
  <si>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</si>
  <si>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</si>
  <si>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</si>
  <si>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</si>
  <si>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</si>
  <si>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</si>
  <si>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</si>
  <si>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</si>
  <si>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</si>
  <si>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</si>
  <si>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</si>
  <si>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</si>
  <si>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</si>
  <si>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</si>
  <si>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</si>
  <si>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</si>
  <si>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</si>
  <si>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</si>
  <si>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</si>
  <si>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</si>
  <si>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</si>
  <si>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</si>
  <si>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</si>
  <si>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</si>
  <si>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</si>
  <si>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</si>
  <si>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</si>
  <si>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</si>
  <si>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</si>
  <si>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</si>
  <si>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</si>
  <si>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</si>
  <si>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</si>
  <si>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</si>
  <si>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</si>
  <si>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</si>
  <si>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</si>
  <si>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</si>
  <si>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</si>
  <si>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</si>
  <si>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</si>
  <si>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</si>
  <si>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</si>
  <si>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</si>
  <si>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</si>
  <si>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</si>
  <si>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</si>
  <si>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</si>
  <si>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</si>
  <si>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</si>
  <si>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</si>
  <si>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</si>
  <si>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</si>
  <si>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</si>
  <si>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</si>
  <si>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</si>
  <si>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</si>
  <si>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</si>
  <si>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</si>
  <si>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</si>
  <si>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</si>
  <si>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</si>
  <si>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</si>
  <si>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</si>
  <si>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</si>
  <si>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</si>
  <si>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</si>
  <si>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</si>
  <si>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</si>
  <si>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</si>
  <si>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</si>
  <si>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</si>
  <si>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</si>
  <si>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</si>
  <si>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</si>
  <si>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</si>
  <si>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</si>
  <si>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</si>
  <si>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</si>
  <si>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</si>
  <si>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</si>
  <si>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</si>
  <si>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</si>
  <si>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</si>
  <si>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</si>
  <si>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</si>
  <si>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</si>
  <si>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</si>
  <si>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</si>
  <si>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</si>
  <si>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</si>
  <si>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</si>
  <si>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</si>
  <si>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</si>
  <si>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</si>
  <si>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</si>
  <si>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</si>
  <si>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</si>
  <si>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</si>
  <si>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</si>
  <si>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</si>
  <si>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</si>
  <si>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</si>
  <si>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</si>
  <si>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</si>
  <si>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</si>
  <si>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</si>
  <si>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</si>
  <si>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</si>
  <si>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</si>
  <si>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</si>
  <si>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</si>
  <si>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</si>
  <si>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</si>
  <si>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</si>
  <si>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</si>
  <si>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</si>
  <si>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</si>
  <si>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</si>
  <si>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</si>
  <si>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</si>
  <si>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</si>
  <si>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</si>
  <si>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</si>
  <si>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</si>
  <si>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</si>
  <si>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</si>
  <si>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</si>
  <si>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</si>
  <si>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</si>
  <si>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</si>
  <si>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</si>
  <si>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</si>
  <si>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</si>
  <si>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</si>
  <si>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</si>
  <si>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</si>
  <si>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</si>
  <si>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</si>
  <si>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</si>
  <si>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</si>
  <si>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</si>
  <si>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</si>
  <si>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</si>
  <si>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</si>
  <si>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</si>
  <si>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</si>
  <si>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</si>
  <si>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</si>
  <si>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</si>
  <si>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</si>
  <si>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</si>
  <si>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</si>
  <si>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</si>
  <si>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</si>
  <si>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</si>
  <si>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</si>
  <si>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</si>
  <si>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</si>
  <si>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</si>
  <si>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</si>
  <si>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</si>
  <si>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</si>
  <si>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</si>
  <si>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</si>
  <si>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</si>
  <si>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</si>
  <si>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</si>
  <si>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</si>
  <si>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</si>
  <si>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</si>
  <si>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</si>
  <si>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</si>
  <si>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</si>
  <si>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</si>
  <si>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</si>
  <si>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</si>
  <si>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</si>
  <si>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</si>
  <si>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</si>
  <si>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</si>
  <si>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</si>
  <si>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</si>
  <si>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</si>
  <si>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</si>
  <si>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</si>
  <si>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</si>
  <si>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</si>
  <si>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</si>
  <si>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</si>
  <si>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</si>
  <si>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</si>
  <si>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</si>
  <si>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</si>
  <si>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</si>
  <si>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</si>
  <si>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</si>
  <si>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</si>
  <si>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</si>
  <si>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</si>
  <si>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</si>
  <si>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</si>
  <si>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</si>
  <si>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</si>
  <si>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</si>
  <si>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</si>
  <si>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</si>
  <si>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</si>
  <si>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</si>
  <si>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</si>
  <si>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</si>
  <si>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</si>
  <si>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</si>
  <si>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</si>
  <si>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</si>
  <si>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</si>
  <si>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</si>
  <si>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</si>
  <si>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</si>
  <si>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</si>
  <si>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</si>
  <si>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</si>
  <si>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</si>
  <si>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</si>
  <si>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</si>
  <si>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</si>
  <si>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</si>
  <si>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</si>
  <si>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</si>
  <si>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</si>
  <si>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</si>
  <si>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</si>
  <si>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</si>
  <si>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</si>
  <si>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</si>
  <si>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</si>
  <si>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</si>
  <si>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</si>
  <si>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</si>
  <si>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</si>
  <si>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</si>
  <si>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</si>
  <si>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</si>
  <si>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</si>
  <si>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</si>
  <si>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</si>
  <si>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</si>
  <si>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</si>
  <si>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</si>
  <si>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</si>
  <si>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</si>
  <si>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</si>
  <si>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</si>
  <si>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</si>
  <si>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</si>
  <si>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</si>
  <si>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</si>
  <si>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</si>
  <si>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</si>
  <si>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</si>
  <si>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</si>
  <si>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</si>
  <si>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</si>
  <si>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</si>
  <si>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</si>
  <si>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</si>
  <si>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</si>
  <si>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</si>
  <si>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</si>
  <si>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</si>
  <si>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</si>
  <si>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</si>
  <si>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</si>
  <si>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</si>
  <si>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</si>
  <si>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</si>
  <si>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</si>
  <si>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</si>
  <si>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</si>
  <si>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</si>
  <si>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</si>
  <si>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</si>
  <si>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</si>
  <si>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</si>
  <si>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</si>
  <si>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</si>
  <si>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</si>
  <si>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</si>
  <si>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</si>
  <si>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</si>
  <si>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</si>
  <si>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</si>
  <si>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</si>
  <si>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</si>
  <si>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</si>
  <si>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</si>
  <si>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</si>
  <si>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</si>
  <si>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</si>
  <si>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</si>
  <si>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</si>
  <si>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</si>
  <si>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</si>
  <si>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</si>
  <si>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</si>
  <si>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</si>
  <si>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</si>
  <si>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</si>
  <si>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</si>
  <si>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</si>
  <si>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</si>
  <si>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</si>
  <si>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</si>
  <si>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</si>
  <si>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</si>
  <si>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</si>
  <si>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</si>
  <si>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</si>
  <si>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</si>
  <si>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</si>
  <si>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</si>
  <si>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</si>
  <si>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</si>
  <si>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</si>
  <si>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</si>
  <si>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</si>
  <si>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</si>
  <si>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</si>
  <si>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</si>
  <si>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</si>
  <si>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</si>
  <si>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</si>
  <si>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</si>
  <si>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</si>
  <si>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</si>
  <si>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</si>
  <si>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</si>
  <si>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</si>
  <si>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</si>
  <si>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</si>
  <si>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</si>
  <si>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</si>
  <si>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</si>
  <si>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</si>
  <si>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</si>
  <si>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</si>
  <si>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</si>
  <si>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</si>
  <si>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</si>
  <si>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</si>
  <si>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</si>
  <si>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</si>
  <si>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</si>
  <si>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</si>
  <si>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</si>
  <si>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</si>
  <si>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</si>
  <si>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</si>
  <si>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</si>
  <si>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</si>
  <si>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</si>
  <si>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</si>
  <si>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</si>
  <si>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</si>
  <si>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</si>
  <si>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</si>
  <si>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</si>
  <si>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</si>
  <si>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</si>
  <si>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</si>
  <si>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</si>
  <si>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</si>
  <si>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</si>
  <si>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</si>
  <si>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</si>
  <si>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</si>
  <si>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</si>
  <si>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</si>
  <si>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</si>
  <si>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</si>
  <si>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</si>
  <si>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</si>
  <si>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</si>
  <si>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</si>
  <si>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</si>
  <si>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</si>
  <si>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</si>
  <si>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</si>
  <si>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</si>
  <si>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</si>
  <si>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</si>
  <si>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</si>
  <si>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</si>
  <si>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</si>
  <si>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</si>
  <si>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</si>
  <si>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</si>
  <si>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</si>
  <si>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</si>
  <si>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</si>
  <si>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</si>
  <si>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</si>
  <si>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</si>
  <si>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</si>
  <si>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</si>
  <si>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</si>
  <si>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</si>
  <si>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</si>
  <si>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</si>
  <si>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</si>
  <si>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</si>
  <si>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</si>
  <si>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</si>
  <si>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</si>
  <si>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</si>
  <si>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</si>
  <si>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</si>
  <si>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</si>
  <si>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</si>
  <si>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</si>
  <si>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</si>
  <si>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</si>
  <si>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</si>
  <si>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</si>
  <si>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</si>
  <si>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</si>
  <si>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</si>
  <si>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</si>
  <si>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</si>
  <si>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</si>
  <si>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</si>
  <si>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</si>
  <si>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</si>
  <si>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</si>
  <si>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</si>
  <si>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</si>
  <si>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</si>
  <si>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</si>
  <si>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</si>
  <si>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</si>
  <si>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</si>
  <si>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</si>
  <si>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</si>
  <si>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</si>
  <si>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</si>
  <si>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</si>
  <si>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</si>
  <si>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</si>
  <si>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</si>
  <si>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</si>
  <si>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</si>
  <si>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</si>
  <si>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</si>
  <si>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</si>
  <si>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</si>
  <si>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</si>
  <si>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</si>
  <si>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</si>
  <si>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</si>
  <si>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</si>
  <si>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</si>
  <si>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</si>
  <si>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</si>
  <si>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</si>
  <si>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</si>
  <si>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</si>
  <si>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</si>
  <si>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</si>
  <si>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</si>
  <si>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</si>
  <si>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</si>
  <si>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</si>
  <si>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</si>
  <si>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</si>
  <si>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</si>
  <si>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</si>
  <si>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</si>
  <si>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</si>
  <si>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</si>
  <si>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</si>
  <si>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</si>
  <si>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</si>
  <si>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</si>
  <si>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</si>
  <si>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</si>
  <si>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</si>
  <si>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</si>
  <si>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</si>
  <si>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</si>
  <si>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</si>
  <si>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</si>
  <si>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</si>
  <si>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</si>
  <si>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</si>
  <si>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</si>
  <si>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</si>
  <si>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</si>
  <si>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</si>
  <si>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</si>
  <si>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</si>
  <si>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</si>
  <si>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</si>
  <si>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</si>
  <si>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</si>
  <si>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</si>
  <si>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</si>
  <si>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</si>
  <si>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</si>
  <si>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</si>
  <si>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</si>
  <si>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</si>
  <si>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</si>
  <si>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</si>
  <si>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</si>
  <si>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</si>
  <si>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</si>
  <si>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</si>
  <si>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</si>
  <si>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</si>
  <si>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</si>
  <si>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</si>
  <si>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</si>
  <si>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</si>
  <si>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</si>
  <si>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</si>
  <si>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</si>
  <si>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</si>
  <si>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</si>
  <si>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</si>
  <si>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</si>
  <si>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</si>
  <si>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</si>
  <si>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</si>
  <si>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</si>
  <si>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</si>
  <si>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</si>
  <si>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</si>
  <si>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</si>
  <si>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</si>
  <si>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</si>
  <si>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</si>
  <si>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</si>
  <si>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</si>
  <si>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</si>
  <si>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</si>
  <si>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</si>
  <si>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</si>
  <si>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</si>
  <si>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</si>
  <si>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</si>
  <si>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</si>
  <si>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</si>
  <si>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</si>
  <si>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</si>
  <si>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</si>
  <si>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</si>
  <si>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</si>
  <si>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</si>
  <si>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</si>
  <si>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</si>
  <si>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</si>
  <si>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</si>
  <si>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</si>
  <si>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</si>
  <si>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</si>
  <si>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</si>
  <si>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</si>
  <si>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</si>
  <si>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</si>
  <si>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</si>
  <si>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</si>
  <si>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</si>
  <si>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</si>
  <si>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</si>
  <si>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</si>
  <si>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</si>
  <si>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</si>
  <si>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</si>
  <si>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</si>
  <si>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</si>
  <si>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</si>
  <si>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</si>
  <si>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</si>
  <si>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</si>
  <si>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</si>
  <si>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</si>
  <si>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</si>
  <si>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</si>
  <si>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</si>
  <si>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</si>
  <si>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</si>
  <si>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</si>
  <si>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</si>
  <si>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</si>
  <si>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</si>
  <si>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</si>
  <si>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</si>
  <si>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</si>
  <si>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</si>
  <si>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</si>
  <si>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</si>
  <si>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</si>
  <si>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</si>
  <si>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</si>
  <si>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</si>
  <si>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</si>
  <si>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</si>
  <si>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</si>
  <si>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</si>
  <si>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</si>
  <si>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</si>
  <si>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</si>
  <si>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</si>
  <si>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</si>
  <si>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</si>
  <si>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</si>
  <si>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</si>
  <si>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</si>
  <si>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</si>
  <si>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</si>
  <si>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</si>
  <si>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</si>
  <si>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</si>
  <si>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</si>
  <si>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</si>
  <si>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</si>
  <si>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</si>
  <si>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</si>
  <si>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</si>
  <si>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</si>
  <si>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</si>
  <si>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</si>
  <si>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</si>
  <si>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</si>
  <si>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</si>
  <si>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</si>
  <si>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</si>
  <si>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</si>
  <si>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</si>
  <si>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</si>
  <si>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</si>
  <si>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</si>
  <si>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</si>
  <si>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</si>
  <si>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</si>
  <si>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</si>
  <si>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</si>
  <si>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</si>
  <si>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</si>
  <si>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</si>
  <si>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</si>
  <si>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</si>
  <si>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</si>
  <si>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</si>
  <si>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</si>
  <si>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</si>
  <si>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</si>
  <si>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</si>
  <si>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</si>
  <si>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</si>
  <si>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</si>
  <si>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</si>
  <si>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</si>
  <si>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</si>
  <si>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</si>
  <si>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</si>
  <si>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</si>
  <si>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</si>
  <si>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</si>
  <si>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</si>
  <si>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</si>
  <si>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</si>
  <si>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</si>
  <si>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</si>
  <si>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</si>
  <si>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</si>
  <si>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</si>
  <si>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</si>
  <si>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</si>
  <si>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</si>
  <si>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</si>
  <si>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</si>
  <si>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</si>
  <si>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</si>
  <si>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</si>
  <si>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</si>
  <si>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</si>
  <si>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</si>
  <si>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</si>
  <si>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</si>
  <si>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</si>
  <si>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</si>
  <si>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</si>
  <si>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</si>
  <si>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</si>
  <si>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</si>
  <si>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</si>
  <si>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</si>
  <si>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</si>
  <si>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</si>
  <si>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</si>
  <si>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</si>
  <si>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</si>
  <si>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</si>
  <si>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</si>
  <si>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</si>
  <si>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</si>
  <si>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</si>
  <si>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</si>
  <si>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</si>
  <si>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</si>
  <si>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</si>
  <si>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</si>
  <si>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</si>
  <si>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</si>
  <si>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</si>
  <si>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</si>
  <si>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</si>
  <si>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</si>
  <si>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</si>
  <si>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</si>
  <si>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</si>
  <si>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</si>
  <si>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</si>
  <si>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</si>
  <si>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</si>
  <si>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</si>
  <si>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</si>
  <si>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</si>
  <si>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</si>
  <si>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</si>
  <si>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</si>
  <si>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</si>
  <si>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</si>
  <si>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</si>
  <si>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</si>
  <si>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</si>
  <si>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</si>
  <si>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</si>
  <si>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</si>
  <si>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</si>
  <si>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</si>
  <si>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</si>
  <si>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</si>
  <si>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</si>
  <si>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</si>
  <si>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</si>
  <si>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</si>
  <si>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</si>
  <si>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</si>
  <si>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</si>
  <si>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</si>
  <si>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</si>
  <si>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</si>
  <si>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</si>
  <si>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</si>
  <si>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</si>
  <si>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</si>
  <si>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</si>
  <si>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</si>
  <si>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</si>
  <si>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</si>
  <si>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</si>
  <si>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</si>
  <si>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</si>
  <si>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</si>
  <si>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</si>
  <si>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</si>
  <si>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</si>
  <si>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</si>
  <si>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</si>
  <si>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</si>
  <si>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</si>
  <si>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</si>
  <si>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</si>
  <si>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</si>
  <si>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</si>
  <si>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</si>
  <si>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</si>
  <si>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</si>
  <si>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</si>
  <si>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</si>
  <si>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</si>
  <si>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</si>
  <si>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</si>
  <si>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</si>
  <si>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</si>
  <si>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</si>
  <si>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</si>
  <si>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</si>
  <si>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</si>
  <si>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</si>
  <si>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</si>
  <si>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</si>
  <si>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</si>
  <si>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</si>
  <si>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</si>
  <si>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</si>
  <si>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</si>
  <si>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</si>
  <si>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</si>
  <si>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</si>
  <si>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</si>
  <si>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</si>
  <si>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</si>
  <si>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</si>
  <si>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</si>
  <si>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</si>
  <si>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</si>
  <si>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</si>
  <si>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</si>
  <si>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</si>
  <si>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</si>
  <si>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</si>
  <si>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</si>
  <si>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</si>
  <si>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</si>
  <si>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</si>
  <si>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</si>
  <si>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</si>
  <si>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</si>
  <si>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</si>
  <si>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</si>
  <si>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</si>
  <si>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</si>
  <si>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</si>
  <si>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</si>
  <si>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</si>
  <si>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</si>
  <si>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</si>
  <si>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</si>
  <si>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</si>
  <si>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</si>
  <si>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</si>
  <si>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</si>
  <si>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</si>
  <si>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</si>
  <si>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</si>
  <si>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</si>
  <si>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</si>
  <si>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</si>
  <si>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</si>
  <si>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</si>
  <si>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</si>
  <si>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</si>
  <si>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</si>
  <si>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</si>
  <si>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</si>
  <si>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</si>
  <si>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</si>
  <si>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</si>
  <si>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</si>
  <si>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</si>
  <si>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</si>
  <si>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</si>
  <si>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</si>
  <si>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</si>
  <si>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</si>
  <si>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</si>
  <si>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</si>
  <si>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</si>
  <si>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</si>
  <si>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</si>
  <si>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</si>
  <si>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</si>
  <si>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</si>
  <si>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</si>
  <si>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</si>
  <si>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</si>
  <si>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</si>
  <si>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</si>
  <si>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</si>
  <si>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</si>
  <si>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</si>
  <si>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</si>
  <si>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</si>
  <si>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</si>
  <si>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</si>
  <si>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</si>
  <si>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</si>
  <si>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</si>
  <si>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</si>
  <si>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</si>
  <si>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</si>
  <si>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</si>
  <si>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</si>
  <si>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</si>
  <si>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</si>
  <si>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</si>
  <si>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</si>
  <si>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</si>
  <si>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</si>
  <si>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</si>
  <si>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</si>
  <si>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</si>
  <si>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</si>
  <si>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</si>
  <si>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</si>
  <si>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</si>
  <si>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</si>
  <si>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</si>
  <si>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</si>
  <si>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</si>
  <si>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</si>
  <si>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</si>
  <si>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</si>
  <si>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</si>
  <si>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</si>
  <si>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</si>
  <si>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</si>
  <si>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</si>
  <si>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</si>
  <si>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</si>
  <si>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</si>
  <si>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</si>
  <si>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</si>
  <si>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</si>
  <si>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</si>
  <si>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</si>
  <si>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</si>
  <si>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</si>
  <si>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</si>
  <si>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</si>
  <si>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</si>
  <si>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</si>
  <si>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</si>
  <si>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</si>
  <si>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</si>
  <si>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</si>
  <si>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</si>
  <si>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</si>
  <si>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</si>
  <si>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</si>
  <si>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</si>
  <si>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</si>
  <si>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</si>
  <si>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</si>
  <si>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</si>
  <si>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</si>
  <si>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</si>
  <si>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</si>
  <si>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</si>
  <si>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</si>
  <si>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</si>
  <si>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</si>
  <si>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</si>
  <si>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</si>
  <si>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</si>
  <si>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</si>
  <si>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</si>
  <si>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</si>
  <si>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</si>
  <si>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</si>
  <si>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</si>
  <si>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</si>
  <si>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</si>
  <si>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</si>
  <si>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</si>
  <si>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</si>
  <si>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</si>
  <si>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</si>
  <si>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</si>
  <si>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</si>
  <si>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</si>
  <si>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</si>
  <si>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</si>
  <si>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</si>
  <si>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</si>
  <si>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</si>
  <si>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</si>
  <si>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</si>
  <si>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</si>
  <si>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</si>
  <si>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</si>
  <si>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</si>
  <si>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</si>
  <si>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</si>
  <si>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</si>
  <si>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</si>
  <si>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</si>
  <si>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</si>
  <si>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</si>
  <si>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</si>
  <si>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</si>
  <si>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</si>
  <si>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</si>
  <si>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</si>
  <si>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</si>
  <si>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</si>
  <si>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</si>
  <si>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</si>
  <si>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</si>
  <si>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</si>
  <si>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</si>
  <si>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</si>
  <si>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</si>
  <si>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</si>
  <si>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</si>
  <si>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</si>
  <si>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</si>
  <si>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</si>
  <si>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</si>
  <si>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</si>
  <si>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</si>
  <si>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</si>
  <si>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</si>
  <si>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</si>
  <si>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</si>
  <si>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</si>
  <si>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</si>
  <si>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</si>
  <si>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</si>
  <si>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</si>
  <si>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</si>
  <si>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</si>
  <si>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</si>
  <si>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</si>
  <si>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</si>
  <si>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</si>
  <si>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</si>
  <si>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</si>
  <si>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</si>
  <si>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</si>
  <si>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</si>
  <si>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</si>
  <si>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</si>
  <si>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</si>
  <si>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</si>
  <si>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</si>
  <si>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</si>
  <si>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</si>
  <si>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</si>
  <si>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</si>
  <si>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</si>
  <si>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</si>
  <si>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</si>
  <si>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</si>
  <si>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</si>
  <si>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</si>
  <si>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</si>
  <si>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</si>
  <si>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</si>
  <si>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</si>
  <si>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</si>
  <si>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</si>
  <si>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</si>
  <si>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</si>
  <si>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</si>
  <si>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</si>
  <si>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</si>
  <si>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</si>
  <si>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</si>
  <si>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</si>
  <si>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</si>
  <si>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</si>
  <si>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</si>
  <si>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</si>
  <si>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</si>
  <si>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</si>
  <si>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</si>
  <si>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</si>
  <si>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</si>
  <si>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</si>
  <si>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</si>
  <si>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</si>
  <si>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</si>
  <si>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</si>
  <si>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</si>
  <si>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</si>
  <si>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</si>
  <si>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</si>
  <si>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</si>
  <si>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</si>
  <si>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</si>
  <si>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</si>
  <si>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</si>
  <si>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</si>
  <si>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</si>
  <si>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</si>
  <si>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</si>
  <si>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</si>
  <si>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</si>
  <si>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</si>
  <si>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</si>
  <si>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</si>
  <si>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</si>
  <si>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</si>
  <si>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</si>
  <si>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</si>
  <si>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</si>
  <si>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</si>
  <si>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</si>
  <si>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</si>
  <si>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</si>
  <si>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</si>
  <si>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</si>
  <si>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</si>
  <si>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</si>
  <si>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</si>
  <si>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</si>
  <si>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</si>
  <si>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</si>
  <si>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</si>
  <si>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</si>
  <si>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</si>
  <si>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</si>
  <si>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</si>
  <si>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</si>
  <si>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</si>
  <si>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</si>
  <si>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</si>
  <si>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</si>
  <si>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</si>
  <si>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</si>
  <si>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</si>
  <si>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</si>
  <si>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</si>
  <si>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</si>
  <si>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</si>
  <si>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</si>
  <si>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</si>
  <si>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</si>
  <si>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</si>
  <si>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</si>
  <si>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</si>
  <si>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</si>
  <si>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</si>
  <si>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</si>
  <si>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</si>
  <si>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</si>
  <si>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</si>
  <si>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</si>
  <si>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</si>
  <si>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</si>
  <si>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</si>
  <si>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</si>
  <si>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</si>
  <si>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</si>
  <si>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</si>
  <si>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</si>
  <si>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</si>
  <si>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</si>
  <si>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</si>
  <si>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</si>
  <si>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</si>
  <si>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</si>
  <si>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</si>
  <si>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</si>
  <si>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</si>
  <si>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</si>
  <si>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</si>
  <si>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</si>
  <si>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</si>
  <si>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</si>
  <si>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</si>
  <si>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</si>
  <si>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</si>
  <si>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</si>
  <si>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</si>
  <si>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</si>
  <si>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</si>
  <si>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</si>
  <si>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</si>
  <si>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</si>
  <si>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</si>
  <si>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</si>
  <si>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</si>
  <si>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</si>
  <si>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</si>
  <si>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</si>
  <si>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</si>
  <si>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</si>
  <si>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</si>
  <si>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</si>
  <si>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</si>
  <si>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</si>
  <si>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</si>
  <si>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</si>
  <si>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</si>
  <si>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</si>
  <si>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</si>
  <si>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</si>
  <si>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</si>
  <si>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</si>
  <si>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</si>
  <si>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</si>
  <si>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</si>
  <si>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</si>
  <si>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</si>
  <si>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</si>
  <si>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</si>
  <si>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</si>
  <si>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</si>
  <si>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</si>
  <si>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</si>
  <si>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</si>
  <si>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</si>
  <si>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</si>
  <si>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</si>
  <si>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</si>
  <si>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</si>
  <si>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</si>
  <si>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</si>
  <si>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</si>
  <si>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</si>
  <si>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</si>
  <si>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</si>
  <si>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</si>
  <si>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</si>
  <si>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</si>
  <si>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</si>
  <si>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</si>
  <si>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</si>
  <si>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</si>
  <si>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</si>
  <si>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</si>
  <si>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</si>
  <si>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</si>
  <si>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</si>
  <si>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</si>
  <si>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</si>
  <si>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</si>
  <si>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</si>
  <si>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</si>
  <si>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</si>
  <si>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</si>
  <si>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</si>
  <si>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</si>
  <si>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</si>
  <si>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</si>
  <si>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</si>
  <si>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</si>
  <si>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</si>
  <si>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</si>
  <si>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</si>
  <si>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</si>
  <si>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</si>
  <si>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</si>
  <si>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</si>
  <si>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</si>
  <si>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</si>
  <si>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</si>
  <si>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</si>
  <si>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</si>
  <si>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</si>
  <si>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</si>
  <si>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</si>
  <si>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</si>
  <si>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</si>
  <si>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</si>
  <si>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</si>
  <si>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</si>
  <si>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</si>
  <si>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</si>
  <si>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</si>
  <si>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</si>
  <si>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</si>
  <si>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</si>
  <si>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</si>
  <si>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</si>
  <si>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</si>
  <si>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</si>
  <si>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</si>
  <si>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</si>
  <si>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</si>
  <si>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</si>
  <si>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</si>
  <si>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</si>
  <si>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</si>
  <si>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</si>
  <si>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</si>
  <si>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</si>
  <si>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</si>
  <si>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</si>
  <si>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</si>
  <si>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</si>
  <si>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</si>
  <si>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</si>
  <si>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</si>
  <si>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</si>
  <si>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</si>
  <si>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</si>
  <si>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</si>
  <si>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</si>
  <si>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</si>
  <si>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</si>
  <si>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</si>
  <si>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</si>
  <si>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</si>
  <si>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</si>
  <si>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</si>
  <si>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</si>
  <si>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</si>
  <si>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</si>
  <si>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</si>
  <si>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</si>
  <si>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</si>
  <si>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</si>
  <si>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</si>
  <si>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</si>
  <si>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</si>
  <si>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</si>
  <si>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</si>
  <si>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</si>
  <si>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</si>
  <si>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</si>
  <si>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</si>
  <si>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</si>
  <si>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</si>
  <si>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</si>
  <si>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</si>
  <si>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</si>
  <si>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</si>
  <si>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</si>
  <si>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</si>
  <si>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</si>
  <si>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</si>
  <si>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</si>
  <si>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</si>
  <si>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</si>
  <si>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</si>
  <si>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</si>
  <si>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</si>
  <si>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</si>
  <si>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</si>
  <si>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</si>
  <si>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</si>
  <si>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</si>
  <si>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</si>
  <si>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</si>
  <si>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</si>
  <si>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</si>
  <si>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</si>
  <si>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</si>
  <si>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</si>
  <si>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</si>
  <si>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</si>
  <si>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</si>
  <si>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</si>
  <si>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</si>
  <si>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</si>
  <si>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</si>
  <si>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</si>
  <si>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</si>
  <si>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</si>
  <si>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</si>
  <si>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</si>
  <si>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</si>
  <si>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</si>
  <si>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</si>
  <si>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</si>
  <si>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</si>
  <si>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</si>
  <si>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</si>
  <si>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</si>
  <si>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</si>
  <si>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</si>
  <si>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</si>
  <si>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</si>
  <si>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</si>
  <si>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</si>
  <si>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</si>
  <si>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</si>
  <si>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</si>
  <si>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</si>
  <si>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</si>
  <si>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</si>
  <si>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</si>
  <si>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</si>
  <si>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</si>
  <si>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</si>
  <si>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</si>
  <si>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</si>
  <si>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</si>
  <si>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</si>
  <si>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</si>
  <si>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</si>
  <si>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</si>
  <si>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</si>
  <si>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</si>
  <si>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</si>
  <si>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</si>
  <si>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</si>
  <si>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</si>
  <si>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</si>
  <si>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</si>
  <si>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</si>
  <si>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</si>
  <si>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</si>
  <si>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</si>
  <si>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</si>
  <si>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</si>
  <si>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</si>
  <si>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</si>
  <si>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</si>
  <si>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</si>
  <si>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</si>
  <si>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</si>
  <si>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</si>
  <si>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</si>
  <si>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</si>
  <si>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</si>
  <si>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</si>
  <si>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</si>
  <si>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</si>
  <si>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</si>
  <si>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</si>
  <si>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</si>
  <si>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</si>
  <si>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</si>
  <si>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</si>
  <si>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</si>
  <si>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</si>
  <si>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</si>
  <si>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</si>
  <si>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</si>
  <si>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</si>
  <si>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</si>
  <si>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</si>
  <si>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</si>
  <si>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</si>
  <si>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</si>
  <si>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</si>
  <si>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</si>
  <si>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</si>
  <si>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</si>
  <si>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</si>
  <si>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</si>
  <si>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</si>
  <si>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</si>
  <si>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</si>
  <si>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</si>
  <si>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</si>
  <si>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</si>
  <si>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</si>
  <si>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</si>
  <si>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</si>
  <si>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</si>
  <si>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</si>
  <si>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</si>
  <si>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</si>
  <si>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</si>
  <si>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</si>
  <si>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</si>
  <si>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</si>
  <si>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</si>
  <si>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</si>
  <si>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</si>
  <si>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</si>
  <si>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</si>
  <si>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</si>
  <si>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</si>
  <si>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</si>
  <si>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</si>
  <si>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</si>
  <si>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</si>
  <si>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</si>
  <si>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</si>
  <si>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</si>
  <si>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</si>
  <si>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</si>
  <si>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</si>
  <si>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</si>
  <si>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</si>
  <si>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</si>
  <si>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</si>
  <si>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</si>
  <si>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</si>
  <si>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</si>
  <si>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</si>
  <si>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</si>
  <si>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</si>
  <si>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</si>
  <si>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</si>
  <si>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</si>
  <si>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</si>
  <si>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</si>
  <si>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</si>
  <si>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</si>
  <si>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</si>
  <si>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</si>
  <si>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</si>
  <si>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</si>
  <si>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</si>
  <si>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</si>
  <si>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</si>
  <si>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</si>
  <si>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</si>
  <si>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</si>
  <si>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</si>
  <si>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</si>
  <si>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</si>
  <si>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</si>
  <si>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</si>
  <si>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</si>
  <si>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</si>
  <si>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</si>
  <si>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</si>
  <si>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</si>
  <si>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</si>
  <si>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</si>
  <si>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</si>
  <si>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</si>
  <si>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</si>
  <si>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</si>
  <si>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</si>
  <si>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</si>
  <si>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</si>
  <si>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</si>
  <si>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</si>
  <si>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</si>
  <si>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</si>
  <si>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</si>
  <si>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</si>
  <si>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</si>
  <si>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</si>
  <si>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</si>
  <si>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</si>
  <si>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</si>
  <si>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</si>
  <si>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</si>
  <si>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</si>
  <si>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</si>
  <si>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</si>
  <si>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</si>
  <si>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</si>
  <si>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</si>
  <si>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</si>
  <si>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</si>
  <si>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</si>
  <si>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</si>
  <si>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</si>
  <si>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</si>
  <si>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</si>
  <si>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</si>
  <si>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</si>
  <si>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</si>
  <si>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</si>
  <si>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</si>
  <si>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</si>
  <si>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</si>
  <si>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</si>
  <si>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</si>
  <si>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</si>
  <si>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</si>
  <si>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</si>
  <si>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</si>
  <si>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</si>
  <si>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</si>
  <si>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</si>
  <si>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</si>
  <si>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</si>
  <si>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</si>
  <si>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</si>
  <si>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</si>
  <si>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</si>
  <si>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</si>
  <si>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</si>
  <si>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</si>
  <si>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</si>
  <si>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</si>
  <si>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</si>
  <si>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</si>
  <si>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</si>
  <si>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</si>
  <si>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</si>
  <si>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</si>
  <si>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</si>
  <si>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</si>
  <si>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</si>
  <si>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</si>
  <si>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</si>
  <si>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</si>
  <si>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</si>
  <si>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</si>
  <si>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</si>
  <si>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</si>
  <si>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</si>
  <si>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</si>
  <si>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</si>
  <si>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</si>
  <si>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</si>
  <si>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</si>
  <si>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</si>
  <si>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</si>
  <si>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</si>
  <si>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</si>
  <si>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</si>
  <si>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</si>
  <si>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</si>
  <si>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</si>
  <si>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</si>
  <si>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</si>
  <si>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</si>
  <si>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</si>
  <si>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</si>
  <si>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</si>
  <si>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</si>
  <si>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</si>
  <si>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</si>
  <si>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</si>
  <si>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</si>
  <si>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</si>
  <si>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</si>
  <si>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</si>
  <si>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</si>
  <si>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</si>
  <si>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</si>
  <si>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</si>
  <si>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</si>
  <si>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</si>
  <si>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</si>
  <si>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</si>
  <si>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</si>
  <si>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</si>
  <si>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</si>
  <si>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</si>
  <si>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</si>
  <si>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</si>
  <si>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</si>
  <si>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</si>
  <si>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</si>
  <si>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</si>
  <si>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</si>
  <si>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</si>
  <si>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</si>
  <si>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</si>
  <si>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</si>
  <si>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</si>
  <si>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</si>
  <si>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</si>
  <si>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</si>
  <si>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</si>
  <si>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</si>
  <si>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</si>
  <si>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</si>
  <si>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</si>
  <si>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</si>
  <si>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</si>
  <si>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</si>
  <si>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</si>
  <si>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</si>
  <si>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</si>
  <si>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</si>
  <si>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</si>
  <si>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</si>
  <si>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</si>
  <si>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</si>
  <si>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</si>
  <si>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</si>
  <si>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</si>
  <si>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</si>
  <si>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</si>
  <si>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</si>
  <si>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</si>
  <si>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</si>
  <si>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</si>
  <si>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</si>
  <si>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</si>
  <si>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</si>
  <si>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</si>
  <si>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</si>
  <si>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</si>
  <si>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</si>
  <si>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</si>
  <si>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</si>
  <si>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</si>
  <si>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</si>
  <si>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</si>
  <si>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</si>
  <si>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</si>
  <si>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</si>
  <si>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</si>
  <si>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</si>
  <si>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</si>
  <si>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</si>
  <si>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</si>
  <si>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</si>
  <si>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</si>
  <si>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</si>
  <si>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</si>
  <si>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</si>
  <si>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</si>
  <si>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</si>
  <si>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</si>
  <si>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</si>
  <si>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</si>
  <si>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</si>
  <si>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</si>
  <si>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</si>
  <si>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</si>
  <si>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</si>
  <si>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</si>
  <si>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</si>
  <si>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</si>
  <si>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</si>
  <si>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</si>
  <si>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</si>
  <si>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</si>
  <si>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</si>
  <si>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</si>
  <si>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</si>
  <si>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</si>
  <si>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</si>
  <si>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</si>
  <si>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</si>
  <si>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</si>
  <si>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</si>
  <si>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</si>
  <si>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</si>
  <si>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</si>
  <si>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</si>
  <si>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</si>
  <si>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</si>
  <si>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</si>
  <si>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</si>
  <si>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</si>
  <si>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</si>
  <si>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</si>
  <si>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</si>
  <si>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</si>
  <si>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</si>
  <si>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</si>
  <si>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</si>
  <si>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</si>
  <si>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</si>
  <si>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</si>
  <si>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</si>
  <si>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</si>
  <si>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</si>
  <si>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</si>
  <si>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</si>
  <si>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</si>
  <si>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</si>
  <si>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</si>
  <si>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</si>
  <si>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</si>
  <si>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</si>
  <si>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</si>
  <si>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</si>
  <si>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</si>
  <si>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</si>
  <si>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</si>
  <si>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</si>
  <si>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</si>
  <si>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</si>
  <si>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</si>
  <si>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</si>
  <si>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</si>
  <si>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</si>
  <si>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</si>
  <si>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</si>
  <si>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</si>
  <si>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</si>
  <si>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</si>
  <si>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</si>
  <si>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</si>
  <si>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</si>
  <si>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</si>
  <si>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</si>
  <si>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</si>
  <si>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</si>
  <si>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</si>
  <si>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</si>
  <si>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</si>
  <si>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</si>
  <si>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</si>
  <si>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</si>
  <si>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</si>
  <si>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</si>
  <si>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</si>
  <si>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</si>
  <si>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</si>
  <si>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</si>
  <si>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</si>
  <si>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</si>
  <si>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</si>
  <si>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</si>
  <si>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</si>
  <si>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</si>
  <si>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</si>
  <si>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</si>
  <si>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</si>
  <si>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</si>
  <si>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</si>
  <si>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</si>
  <si>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</si>
  <si>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</si>
  <si>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</si>
  <si>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</si>
  <si>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</si>
  <si>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</si>
  <si>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</si>
  <si>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</si>
  <si>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</si>
  <si>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</si>
  <si>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</si>
  <si>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</si>
  <si>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</si>
  <si>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</si>
  <si>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</si>
  <si>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</si>
  <si>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</si>
  <si>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</si>
  <si>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</si>
  <si>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</si>
  <si>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</si>
  <si>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</si>
  <si>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</si>
  <si>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</si>
  <si>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</si>
  <si>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</si>
  <si>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</si>
  <si>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</si>
  <si>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</si>
  <si>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</si>
  <si>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</si>
  <si>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</si>
  <si>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</si>
  <si>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</si>
  <si>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</si>
  <si>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</si>
  <si>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</si>
  <si>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</si>
  <si>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</si>
  <si>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</si>
  <si>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</si>
  <si>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SEC2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</si>
  <si>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</si>
  <si>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</si>
  <si>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</si>
  <si>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</si>
  <si>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1 - 02/09/2026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</si>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</sst>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4" fillId="0" borderId="5" xfId="0" applyFont="1" applyBorder="1"/>
    <xf numFmtId="14" fontId="95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1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16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8.8692999999999955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35.762699999999995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15.528999999999996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198" totalsRowShown="0" headerRowDxfId="215" tableBorderDxfId="214">
  <autoFilter ref="A1:AW1198" xr:uid="{00000000-000C-0000-FFFF-FFFF00000000}"/>
  <tableColumns count="49">
    <tableColumn id="1" xr3:uid="{00000000-0010-0000-0000-000001000000}" name="DESENHO_x000a_MDE" dataDxfId="213"/>
    <tableColumn id="43" xr3:uid="{56981E1B-CD3E-434D-AB02-C5F83A6F3E43}" name="DESENHO_x000a_CLIENTE" dataDxfId="212"/>
    <tableColumn id="2" xr3:uid="{00000000-0010-0000-0000-000002000000}" name="QTE" dataDxfId="211"/>
    <tableColumn id="3" xr3:uid="{00000000-0010-0000-0000-000003000000}" name="DESCRIÇÃO" dataDxfId="210"/>
    <tableColumn id="41" xr3:uid="{00000000-0010-0000-0000-000029000000}" name="COD.MDE" dataDxfId="209"/>
    <tableColumn id="40" xr3:uid="{00000000-0010-0000-0000-000028000000}" name="REMESSA" dataDxfId="208"/>
    <tableColumn id="4" xr3:uid="{00000000-0010-0000-0000-000004000000}" name="PESO UNI" dataDxfId="207"/>
    <tableColumn id="5" xr3:uid="{00000000-0010-0000-0000-000005000000}" name="PESO TOTAL" dataDxfId="206"/>
    <tableColumn id="6" xr3:uid="{00000000-0010-0000-0000-000006000000}" name="Revisão" dataDxfId="205"/>
    <tableColumn id="7" xr3:uid="{00000000-0010-0000-0000-000007000000}" name="TAG" dataDxfId="204"/>
    <tableColumn id="38" xr3:uid="{00000000-0010-0000-0000-000026000000}" name="PRODUTO" dataDxfId="203"/>
    <tableColumn id="8" xr3:uid="{00000000-0010-0000-0000-000008000000}" name="PEDIDO" dataDxfId="202"/>
    <tableColumn id="9" xr3:uid="{00000000-0010-0000-0000-000009000000}" name="Engenharia" dataDxfId="201"/>
    <tableColumn id="10" xr3:uid="{00000000-0010-0000-0000-00000A000000}" name="FORNECEDOR" dataDxfId="200"/>
    <tableColumn id="11" xr3:uid="{00000000-0010-0000-0000-00000B000000}" name="QTDE/ Fabricação" dataDxfId="199"/>
    <tableColumn id="12" xr3:uid="{00000000-0010-0000-0000-00000C000000}" name="DATA/Fabricação" dataDxfId="198"/>
    <tableColumn id="13" xr3:uid="{00000000-0010-0000-0000-00000D000000}" name="SALDO PENDENTE/Fabricação" dataDxfId="197"/>
    <tableColumn id="14" xr3:uid="{00000000-0010-0000-0000-00000E000000}" name="EVOLUÇÃO PRETO / Fabricação_x000a_(kg)" dataDxfId="196"/>
    <tableColumn id="15" xr3:uid="{00000000-0010-0000-0000-00000F000000}" name="PRONTO ACABADO kg" dataDxfId="195">
      <calculatedColumnFormula>IFERROR(H2*AG2,"")</calculatedColumnFormula>
    </tableColumn>
    <tableColumn id="16" xr3:uid="{00000000-0010-0000-0000-000010000000}" name="Pendencia  / Fabricação_x000a_EM KG" dataDxfId="194"/>
    <tableColumn id="17" xr3:uid="{00000000-0010-0000-0000-000011000000}" name="QIANTIDADE EXPEDIDA" dataDxfId="193"/>
    <tableColumn id="18" xr3:uid="{00000000-0010-0000-0000-000012000000}" name="ROMANEIO " dataDxfId="192"/>
    <tableColumn id="19" xr3:uid="{00000000-0010-0000-0000-000013000000}" name="DATA EXPEDIÇÃO" dataDxfId="191"/>
    <tableColumn id="20" xr3:uid="{00000000-0010-0000-0000-000014000000}" name="Peso Expedido" dataDxfId="190"/>
    <tableColumn id="21" xr3:uid="{00000000-0010-0000-0000-000015000000}" name="QUANTIDADE PENDENTE/Expedição" dataDxfId="189"/>
    <tableColumn id="22" xr3:uid="{00000000-0010-0000-0000-000016000000}" name="PESO PENDENTE/Expedição" dataDxfId="188"/>
    <tableColumn id="23" xr3:uid="{00000000-0010-0000-0000-000017000000}" name="MATÉRIA PRIMA" dataDxfId="187"/>
    <tableColumn id="24" xr3:uid="{00000000-0010-0000-0000-000018000000}" name="RELATORIO" dataDxfId="186"/>
    <tableColumn id="25" xr3:uid="{00000000-0010-0000-0000-000019000000}" name="PREPARAÇÃO " dataDxfId="185"/>
    <tableColumn id="26" xr3:uid="{00000000-0010-0000-0000-00001A000000}" name="CALDEIRARIA" dataDxfId="184"/>
    <tableColumn id="27" xr3:uid="{00000000-0010-0000-0000-00001B000000}" name="SOLDA" dataDxfId="183"/>
    <tableColumn id="28" xr3:uid="{00000000-0010-0000-0000-00001C000000}" name="ACABAMENTO" dataDxfId="182"/>
    <tableColumn id="29" xr3:uid="{00000000-0010-0000-0000-00001D000000}" name="PRONTO ACABADO" dataDxfId="181"/>
    <tableColumn id="30" xr3:uid="{00000000-0010-0000-0000-00001E000000}" name="EXPEDIÇÃO " dataDxfId="180"/>
    <tableColumn id="31" xr3:uid="{00000000-0010-0000-0000-00001F000000}" name="FINALIZADO " dataDxfId="179"/>
    <tableColumn id="32" xr3:uid="{00000000-0010-0000-0000-000020000000}" name="Coluna1" dataDxfId="178"/>
    <tableColumn id="33" xr3:uid="{00000000-0010-0000-0000-000021000000}" name="Coluna2" dataDxfId="177"/>
    <tableColumn id="34" xr3:uid="{00000000-0010-0000-0000-000022000000}" name="Coluna3" dataDxfId="176"/>
    <tableColumn id="35" xr3:uid="{00000000-0010-0000-0000-000023000000}" name="Coluna4" dataDxfId="175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74"/>
    <tableColumn id="42" xr3:uid="{44772FB5-94B9-4683-9D51-42A525419432}" name="Colunas7" dataDxfId="173"/>
    <tableColumn id="44" xr3:uid="{7DBCA215-A831-41EC-8668-4217050D7CEF}" name="Coluna5" dataDxfId="172"/>
    <tableColumn id="52" xr3:uid="{0F1E3E30-ACD2-41A7-9FEB-CFC4141C720F}" name="PRONTO NO PRETO" dataDxfId="171"/>
    <tableColumn id="53" xr3:uid="{7B42991E-C57D-449B-9CA4-FF51ED3B7EE1}" name="PRONTO ACABADO3" dataDxfId="170"/>
    <tableColumn id="54" xr3:uid="{B185D57F-2904-41B4-A913-414AD30553DC}" name="PESO EXPEDIDO2" dataDxfId="169"/>
    <tableColumn id="55" xr3:uid="{216FC5C0-1E81-4ACF-B1FE-D38AAA1F26E6}" name="PRONTO ACABADO2" dataDxfId="168"/>
    <tableColumn id="57" xr3:uid="{58807113-78D0-4422-B88A-8E66792B9681}" name="Coluna7" dataDxfId="167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66" headerRowBorderDxfId="165" tableBorderDxfId="164" totalsRowBorderDxfId="163">
  <autoFilter ref="A1:F27" xr:uid="{9E04BDB3-7991-400D-A075-6EF4E207F167}"/>
  <tableColumns count="6">
    <tableColumn id="1" xr3:uid="{0986BF72-EBA9-4CAA-A22C-20021A2F0193}" name="PEDIDO" dataDxfId="162"/>
    <tableColumn id="2" xr3:uid="{1E29E510-3230-4D4A-9101-BF1603DA1959}" name="EQUIPAMENTO" dataDxfId="161"/>
    <tableColumn id="3" xr3:uid="{27EA8246-98FE-4DF0-AB4F-2563340E3A33}" name="DATA PREVISTA " dataDxfId="160"/>
    <tableColumn id="4" xr3:uid="{178705E0-20E1-4EA8-BD6A-04EDA09B960F}" name="DATA REPROGRAMADA" dataDxfId="159"/>
    <tableColumn id="5" xr3:uid="{D69E8AE6-FCF7-4D70-8443-DFF41092DBA5}" name="Observação" dataDxfId="158"/>
    <tableColumn id="6" xr3:uid="{7ED96CF2-6F65-4A02-A0B9-FFDE23E894EB}" name="CLIENTE" dataDxfId="15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56">
  <autoFilter ref="D3:R395" xr:uid="{D635AFD0-01A4-4F4C-B4BB-2C0A84AFA373}"/>
  <tableColumns count="15">
    <tableColumn id="1" xr3:uid="{71019319-E348-41C4-90A8-BD800AFA385A}" name="TAG" dataDxfId="155"/>
    <tableColumn id="2" xr3:uid="{6205B1F5-4B96-401E-A8F0-D0B582A87E91}" name="PEDIDO" dataDxfId="154">
      <calculatedColumnFormula>VLOOKUP(Tabela2[[#This Row],[TAG]],MICRO!J:L,3,0)</calculatedColumnFormula>
    </tableColumn>
    <tableColumn id="3" xr3:uid="{EBC41BBB-459B-4DB5-8152-2C7C2C7ADFAA}" name="FORNECEDOR" dataDxfId="153" dataCellStyle="Normal 2"/>
    <tableColumn id="4" xr3:uid="{EE719B42-3B82-4AC6-AB4D-66A5AF76AAFC}" name="RECEBIDO ENGENHARIA (kg)" dataDxfId="152">
      <calculatedColumnFormula>SUMIF(MICRO!AP:AP,O:O,MICRO!H:H)</calculatedColumnFormula>
    </tableColumn>
    <tableColumn id="5" xr3:uid="{F8EF71F0-2467-40E6-8596-0C50AE8B2E56}" name="EM AVANÇO NO PRETO (kg)" dataDxfId="151">
      <calculatedColumnFormula>SUMIF(MICRO!AP:AP,O:O,MICRO!R:R)</calculatedColumnFormula>
    </tableColumn>
    <tableColumn id="6" xr3:uid="{70FA8036-1726-409E-865E-BBD68DD0CF2B}" name="Pendencia  / Fabricação_x000a_EM KG _x000a_(Kg)" dataDxfId="150">
      <calculatedColumnFormula>SUMIF(MICRO!AP:AP,O:O,MICRO!T:T)</calculatedColumnFormula>
    </tableColumn>
    <tableColumn id="7" xr3:uid="{2EDBF5C8-B6A0-4234-9B37-F4D245CBE335}" name="EVOLUÇÃO %" dataDxfId="149">
      <calculatedColumnFormula>IF(G4 = 0,0,H4/G4)</calculatedColumnFormula>
    </tableColumn>
    <tableColumn id="8" xr3:uid="{981D372E-5C81-43AA-82CF-C526D0CD7BC5}" name="PESO EXPEDIDO" dataDxfId="148">
      <calculatedColumnFormula>SUMIF(MICRO!AP:AP,O:O,MICRO!X:X)</calculatedColumnFormula>
    </tableColumn>
    <tableColumn id="9" xr3:uid="{9581E1B5-4976-4A66-B050-5EDFF64499FF}" name="% EXPEDIDO" dataDxfId="147">
      <calculatedColumnFormula>IF(G4&lt;&gt;0,SUM(K4/G4*1),"0%")</calculatedColumnFormula>
    </tableColumn>
    <tableColumn id="10" xr3:uid="{5A0DEF47-FBD5-46D6-A019-DB5E3CF46E5B}" name="PESO PENDENTE4" dataDxfId="146">
      <calculatedColumnFormula>G4-K4</calculatedColumnFormula>
    </tableColumn>
    <tableColumn id="11" xr3:uid="{AD13F8E0-0652-4176-B922-E74BEC175E7A}" name="Coluna1" dataDxfId="145">
      <calculatedColumnFormula>E4&amp;F4</calculatedColumnFormula>
    </tableColumn>
    <tableColumn id="12" xr3:uid="{9AB5E2D8-1AD6-4B63-A9ED-66372E94A48F}" name="Coluna2" dataDxfId="144">
      <calculatedColumnFormula>D4&amp;E4&amp;F4</calculatedColumnFormula>
    </tableColumn>
    <tableColumn id="13" xr3:uid="{ED15B1A8-5672-4E4D-9246-3BC797332C64}" name="PRONTO NO PRETO" dataDxfId="143">
      <calculatedColumnFormula>SUMIF(MICRO!AP:AP,O4,MICRO!AS:AS)</calculatedColumnFormula>
    </tableColumn>
    <tableColumn id="14" xr3:uid="{986427E9-0E8F-46D1-987F-01DBA908B397}" name="PRONTO ACABADO" dataDxfId="142">
      <calculatedColumnFormula>SUMIF(MICRO!AP:AP,O4,MICRO!AT:AT)</calculatedColumnFormula>
    </tableColumn>
    <tableColumn id="15" xr3:uid="{4361E9F4-014E-4677-9D4A-8DBAE707BA31}" name="PESO EXPEDIDO2" dataDxfId="141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8" t="s">
        <v>326</v>
      </c>
      <c r="B1" s="250" t="s">
        <v>891</v>
      </c>
      <c r="C1" s="251"/>
      <c r="D1" s="251"/>
      <c r="E1" s="251"/>
      <c r="F1" s="251"/>
      <c r="G1" s="252"/>
      <c r="H1" s="245" t="s">
        <v>331</v>
      </c>
      <c r="I1" s="246"/>
      <c r="J1" s="246"/>
      <c r="K1" s="247"/>
    </row>
    <row r="2" spans="1:11" x14ac:dyDescent="0.25">
      <c r="A2" s="249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5105</v>
      </c>
      <c r="J2" s="181" t="s">
        <v>5277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42"/>
      <c r="B5" s="243"/>
      <c r="C5" s="243"/>
      <c r="D5" s="243"/>
      <c r="E5" s="243"/>
      <c r="F5" s="243"/>
      <c r="G5" s="243"/>
      <c r="H5" s="243"/>
      <c r="I5" s="243"/>
      <c r="J5" s="243"/>
      <c r="K5" s="244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198"/>
  <sheetViews>
    <sheetView showGridLines="0" tabSelected="1" zoomScale="77" zoomScaleNormal="77" workbookViewId="0">
      <pane ySplit="1" topLeftCell="A1190" activePane="bottomLeft" state="frozen"/>
      <selection activeCell="AF1115" sqref="AF1115"/>
      <selection pane="bottomLeft" activeCell="A1198" sqref="A1193:XFD1198"/>
    </sheetView>
  </sheetViews>
  <sheetFormatPr defaultColWidth="9.140625" defaultRowHeight="15.75" customHeight="1" x14ac:dyDescent="0.25"/>
  <cols>
    <col min="1" max="1" width="23.140625" style="25" customWidth="1"/>
    <col min="2" max="2" width="29" style="36" customWidth="1"/>
    <col min="3" max="3" width="13" style="25" customWidth="1"/>
    <col min="4" max="4" width="177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>IFERROR(COUNTIF(#REF!,Tabela1[[#This Row],[Colunas5]]),"")</f>
        <v/>
      </c>
      <c r="X94" s="14">
        <f>Tabela1[[#This Row],[QIANTIDADE EXPEDIDA]]*Tabela1[[#This Row],[PESO UNI]]</f>
        <v>134.4</v>
      </c>
      <c r="Y94" s="14">
        <f t="shared" si="27"/>
        <v>0</v>
      </c>
      <c r="Z94" s="20">
        <f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>IFERROR(COUNTIF(#REF!,Tabela1[[#This Row],[Colunas5]]),"")</f>
        <v/>
      </c>
      <c r="X98" s="14">
        <f>Tabela1[[#This Row],[QIANTIDADE EXPEDIDA]]*Tabela1[[#This Row],[PESO UNI]]</f>
        <v>2.4</v>
      </c>
      <c r="Y98" s="14">
        <f t="shared" si="27"/>
        <v>0</v>
      </c>
      <c r="Z98" s="20">
        <f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5644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5644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5644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5644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5644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5644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4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4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4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4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4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4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4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4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4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4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4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4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4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4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4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4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4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4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4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4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4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4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4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4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4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4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4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4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4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4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4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4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4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4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4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4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4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4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4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4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4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4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4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4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4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4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4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4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4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4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4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4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1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4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4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4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4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4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4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4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4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4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4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4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4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60</v>
      </c>
      <c r="S439" s="18">
        <f t="shared" si="82"/>
        <v>60</v>
      </c>
      <c r="T439" s="19">
        <f t="shared" ref="T439" si="84">IFERROR(S439-H439,"")</f>
        <v>0</v>
      </c>
      <c r="U439" s="16">
        <f>IFERROR(SUMIF('LISTA DE EMBARQUE'!B:B,MICRO!E:E,'LISTA DE EMBARQUE'!G:G),"")</f>
        <v>6</v>
      </c>
      <c r="V439" s="12">
        <f>IFERROR(VLOOKUP(Tabela1[[#This Row],[COD.MDE]],'LISTA DE EMBARQUE'!B:L,11,0),"")</f>
        <v>1</v>
      </c>
      <c r="W439" s="13" t="str">
        <f>IFERROR(COUNTIF(#REF!,Tabela1[[#This Row],[Colunas5]]),"")</f>
        <v/>
      </c>
      <c r="X439" s="14">
        <f>Tabela1[[#This Row],[QIANTIDADE EXPEDIDA]]*Tabela1[[#This Row],[PESO UNI]]</f>
        <v>60</v>
      </c>
      <c r="Y439" s="14">
        <f t="shared" ref="Y439" si="85">U439-C439</f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tr">
        <f t="shared" si="77"/>
        <v>ok</v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ref="AU439" si="87">IF(AH439="",0,IF(ISTEXT(AH439),H439*VALUE(SUBSTITUTE(AH439,"%",""))/100,H439*AH439))</f>
        <v>60</v>
      </c>
      <c r="AV439" s="37">
        <f t="shared" ref="AV439" si="88">IF(AG439="",0,IF(ISTEXT(AG439),H439*VALUE(SUBSTITUTE(AG439,"%",""))/100,H439*AG439))</f>
        <v>60</v>
      </c>
      <c r="AW439" s="37"/>
    </row>
    <row r="440" spans="1:49" ht="15.75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75</v>
      </c>
      <c r="S440" s="18">
        <f t="shared" si="82"/>
        <v>75</v>
      </c>
      <c r="T440" s="19">
        <f t="shared" ref="T440:T509" si="90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75</v>
      </c>
      <c r="Y440" s="14">
        <f t="shared" ref="Y440:Y509" si="91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:AU509" si="93">IF(AH440="",0,IF(ISTEXT(AH440),H440*VALUE(SUBSTITUTE(AH440,"%",""))/100,H440*AH440))</f>
        <v>75</v>
      </c>
      <c r="AV440" s="37">
        <f t="shared" ref="AV440:AV509" si="94">IF(AG440="",0,IF(ISTEXT(AG440),H440*VALUE(SUBSTITUTE(AG440,"%",""))/100,H440*AG440))</f>
        <v>75</v>
      </c>
      <c r="AW440" s="37"/>
    </row>
    <row r="441" spans="1:49" ht="15.75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9.6</v>
      </c>
      <c r="S442" s="18">
        <f t="shared" ref="S442:S451" si="96">IFERROR(H442*AG442,"")</f>
        <v>9.6</v>
      </c>
      <c r="T442" s="19">
        <f t="shared" ref="T442:T451" si="97">IFERROR(S442-H442,"")</f>
        <v>0</v>
      </c>
      <c r="U442" s="16">
        <f>IFERROR(SUMIF('LISTA DE EMBARQUE'!B:B,MICRO!E:E,'LISTA DE EMBARQUE'!G:G),"")</f>
        <v>8</v>
      </c>
      <c r="V442" s="12">
        <f>IFERROR(VLOOKUP(Tabela1[[#This Row],[COD.MDE]],'LISTA DE EMBARQUE'!B:L,11,0),"")</f>
        <v>6</v>
      </c>
      <c r="W442" s="13" t="str">
        <f>IFERROR(COUNTIF(#REF!,Tabela1[[#This Row],[Colunas5]]),"")</f>
        <v/>
      </c>
      <c r="X442" s="14">
        <f>Tabela1[[#This Row],[QIANTIDADE EXPEDIDA]]*Tabela1[[#This Row],[PESO UNI]]</f>
        <v>9.6</v>
      </c>
      <c r="Y442" s="14">
        <f t="shared" ref="Y442:Y451" si="98">U442-C442</f>
        <v>0</v>
      </c>
      <c r="Z442" s="20">
        <f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38.4</v>
      </c>
      <c r="S445" s="18">
        <f t="shared" si="96"/>
        <v>38.4</v>
      </c>
      <c r="T445" s="19">
        <f t="shared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>IFERROR(COUNTIF(#REF!,Tabela1[[#This Row],[Colunas5]]),"")</f>
        <v/>
      </c>
      <c r="X445" s="14">
        <f>Tabela1[[#This Row],[QIANTIDADE EXPEDIDA]]*Tabela1[[#This Row],[PESO UNI]]</f>
        <v>38.4</v>
      </c>
      <c r="Y445" s="14">
        <f t="shared" si="98"/>
        <v>0</v>
      </c>
      <c r="Z445" s="20">
        <f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2.6</v>
      </c>
      <c r="S448" s="18">
        <f t="shared" si="96"/>
        <v>2.6</v>
      </c>
      <c r="T448" s="19">
        <f t="shared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>IFERROR(COUNTIF(#REF!,Tabela1[[#This Row],[Colunas5]]),"")</f>
        <v/>
      </c>
      <c r="X448" s="14">
        <f>Tabela1[[#This Row],[QIANTIDADE EXPEDIDA]]*Tabela1[[#This Row],[PESO UNI]]</f>
        <v>2.6</v>
      </c>
      <c r="Y448" s="14">
        <f t="shared" si="98"/>
        <v>0</v>
      </c>
      <c r="Z448" s="20">
        <f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8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>Tabela1[[#This Row],[QTDE/ Fabricação]]-Tabela1[[#This Row],[QTE]]</f>
        <v>-18</v>
      </c>
      <c r="R452" s="18">
        <f t="shared" si="89"/>
        <v>18</v>
      </c>
      <c r="S452" s="18">
        <f t="shared" ref="S452:S458" si="100">IFERROR(H452*AG452,"")</f>
        <v>18</v>
      </c>
      <c r="T452" s="19">
        <f t="shared" ref="T452:T458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>IFERROR(Tabela1[[#This Row],[QIANTIDADE EXPEDIDA]]*Tabela1[[#This Row],[PESO UNI]],"")</f>
        <v>18</v>
      </c>
      <c r="Y452" s="14">
        <f t="shared" ref="Y452:Y458" si="102">U452-C452</f>
        <v>0</v>
      </c>
      <c r="Z452" s="20">
        <f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si="77"/>
        <v>ok</v>
      </c>
    </row>
    <row r="453" spans="1:49" ht="15.75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8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-53</v>
      </c>
      <c r="R453" s="18">
        <f>IFERROR(H453*((AA453*0.25)+(AC453*0.25)+(AD453*0.225)+(AE453*0.225)+(AF453*0.05)),"")</f>
        <v>275.60000000000002</v>
      </c>
      <c r="S453" s="18">
        <f t="shared" si="100"/>
        <v>275.60000000000002</v>
      </c>
      <c r="T453" s="19">
        <f t="shared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275.60000000000002</v>
      </c>
      <c r="Y453" s="14">
        <f t="shared" si="102"/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8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7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133.70000000000002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8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109.19999999999999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8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48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8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70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8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23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138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customHeight="1" x14ac:dyDescent="0.25">
      <c r="A605" s="1" t="s">
        <v>2552</v>
      </c>
      <c r="B605" s="193"/>
      <c r="C605" s="195">
        <v>47</v>
      </c>
      <c r="D605" s="206" t="s">
        <v>3735</v>
      </c>
      <c r="E605" s="192" t="s">
        <v>4446</v>
      </c>
      <c r="F605" s="195" t="s">
        <v>4411</v>
      </c>
      <c r="G605" s="196">
        <v>121.38</v>
      </c>
      <c r="H605" s="34">
        <f>Tabela1[[#This Row],[PESO UNI]]*Tabela1[[#This Row],[QTE]]</f>
        <v>5704.86</v>
      </c>
      <c r="I605" s="196">
        <v>0</v>
      </c>
      <c r="J605" s="8" t="s">
        <v>2550</v>
      </c>
      <c r="K605" s="8" t="s">
        <v>4320</v>
      </c>
      <c r="L605" s="9" t="s">
        <v>2551</v>
      </c>
      <c r="M605" s="197"/>
      <c r="N605" s="203" t="s">
        <v>38</v>
      </c>
      <c r="O605" s="198"/>
      <c r="P605" s="199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0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5492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1283.7</v>
      </c>
      <c r="S606" s="18">
        <f t="shared" si="117"/>
        <v>1283.7</v>
      </c>
      <c r="T606" s="19">
        <f t="shared" ref="T606:T624" si="122">IFERROR(S606-H606,"")</f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6</v>
      </c>
      <c r="W606" s="13" t="str">
        <f>IFERROR(COUNTIF(#REF!,Tabela1[[#This Row],[Colunas5]]),"")</f>
        <v/>
      </c>
      <c r="X606" s="14">
        <f>Tabela1[[#This Row],[QIANTIDADE EXPEDIDA]]*Tabela1[[#This Row],[PESO UNI]]</f>
        <v>1283.7</v>
      </c>
      <c r="Y606" s="14">
        <f t="shared" ref="Y606:Y624" si="123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5491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1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396.2</v>
      </c>
      <c r="Y607" s="14">
        <f t="shared" si="123"/>
        <v>0</v>
      </c>
      <c r="Z607" s="20">
        <f>Tabela1[[#This Row],[PESO TOTAL]]-Tabela1[[#This Row],[Peso Expedido]]</f>
        <v>0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5490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166</v>
      </c>
      <c r="S608" s="18">
        <f t="shared" si="117"/>
        <v>166</v>
      </c>
      <c r="T608" s="19">
        <f t="shared" si="122"/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5490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5489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126.7</v>
      </c>
      <c r="S610" s="18">
        <f t="shared" si="117"/>
        <v>126.7</v>
      </c>
      <c r="T610" s="19">
        <f t="shared" si="122"/>
        <v>0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>
        <v>1</v>
      </c>
      <c r="AD610" s="33">
        <v>1</v>
      </c>
      <c r="AE610" s="33">
        <v>1</v>
      </c>
      <c r="AF610" s="33">
        <v>1</v>
      </c>
      <c r="AG610" s="33">
        <v>1</v>
      </c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5489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117.8</v>
      </c>
      <c r="S611" s="18">
        <f t="shared" si="117"/>
        <v>117.8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100.9</v>
      </c>
      <c r="S612" s="18">
        <f t="shared" si="117"/>
        <v>100.9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166.8</v>
      </c>
      <c r="S613" s="18">
        <f t="shared" si="117"/>
        <v>166.8</v>
      </c>
      <c r="T613" s="19">
        <f t="shared" si="122"/>
        <v>0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1</v>
      </c>
      <c r="AB613" s="33"/>
      <c r="AC613" s="33">
        <v>1</v>
      </c>
      <c r="AD613" s="33">
        <v>1</v>
      </c>
      <c r="AE613" s="33">
        <v>1</v>
      </c>
      <c r="AF613" s="33">
        <v>1</v>
      </c>
      <c r="AG613" s="33">
        <v>1</v>
      </c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120.2</v>
      </c>
      <c r="S614" s="18">
        <f t="shared" si="117"/>
        <v>120.2</v>
      </c>
      <c r="T614" s="19">
        <f t="shared" si="122"/>
        <v>0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1</v>
      </c>
      <c r="AB614" s="33"/>
      <c r="AC614" s="33">
        <v>1</v>
      </c>
      <c r="AD614" s="33">
        <v>1</v>
      </c>
      <c r="AE614" s="33">
        <v>1</v>
      </c>
      <c r="AF614" s="33">
        <v>1</v>
      </c>
      <c r="AG614" s="33">
        <v>1</v>
      </c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63.6</v>
      </c>
      <c r="S615" s="18">
        <f t="shared" si="117"/>
        <v>63.6</v>
      </c>
      <c r="T615" s="19">
        <f t="shared" si="122"/>
        <v>0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1</v>
      </c>
      <c r="AB615" s="33"/>
      <c r="AC615" s="33">
        <v>1</v>
      </c>
      <c r="AD615" s="33">
        <v>1</v>
      </c>
      <c r="AE615" s="33">
        <v>1</v>
      </c>
      <c r="AF615" s="33">
        <v>1</v>
      </c>
      <c r="AG615" s="33">
        <v>1</v>
      </c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75.8</v>
      </c>
      <c r="S616" s="18">
        <f t="shared" si="117"/>
        <v>75.8</v>
      </c>
      <c r="T616" s="19">
        <f t="shared" si="122"/>
        <v>0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1</v>
      </c>
      <c r="AB616" s="33"/>
      <c r="AC616" s="33">
        <v>1</v>
      </c>
      <c r="AD616" s="33">
        <v>1</v>
      </c>
      <c r="AE616" s="33">
        <v>1</v>
      </c>
      <c r="AF616" s="33">
        <v>1</v>
      </c>
      <c r="AG616" s="33">
        <v>1</v>
      </c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5493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761.9</v>
      </c>
      <c r="S617" s="18">
        <f t="shared" si="117"/>
        <v>761.9</v>
      </c>
      <c r="T617" s="19">
        <f t="shared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>IFERROR(COUNTIF(#REF!,Tabela1[[#This Row],[Colunas5]]),"")</f>
        <v/>
      </c>
      <c r="X617" s="14">
        <f>Tabela1[[#This Row],[QIANTIDADE EXPEDIDA]]*Tabela1[[#This Row],[PESO UNI]]</f>
        <v>761.9</v>
      </c>
      <c r="Y617" s="14">
        <f t="shared" si="123"/>
        <v>0</v>
      </c>
      <c r="Z617" s="20">
        <f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5493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170.2</v>
      </c>
      <c r="S618" s="18">
        <f t="shared" si="117"/>
        <v>170.2</v>
      </c>
      <c r="T618" s="19">
        <f t="shared" si="122"/>
        <v>0</v>
      </c>
      <c r="U618" s="16">
        <f>IFERROR(SUMIF('LISTA DE EMBARQUE'!B:B,MICRO!E:E,'LISTA DE EMBARQUE'!G:G),"")</f>
        <v>2</v>
      </c>
      <c r="V618" s="12">
        <f>IFERROR(VLOOKUP(Tabela1[[#This Row],[COD.MDE]],'LISTA DE EMBARQUE'!B:L,11,0),"")</f>
        <v>6</v>
      </c>
      <c r="W618" s="13" t="str">
        <f>IFERROR(COUNTIF(#REF!,Tabela1[[#This Row],[Colunas5]]),"")</f>
        <v/>
      </c>
      <c r="X618" s="14">
        <f>Tabela1[[#This Row],[QIANTIDADE EXPEDIDA]]*Tabela1[[#This Row],[PESO UNI]]</f>
        <v>170.2</v>
      </c>
      <c r="Y618" s="14">
        <f t="shared" si="123"/>
        <v>0</v>
      </c>
      <c r="Z618" s="20">
        <f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5493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103.6</v>
      </c>
      <c r="S619" s="18">
        <f t="shared" si="117"/>
        <v>103.6</v>
      </c>
      <c r="T619" s="19">
        <f t="shared" si="122"/>
        <v>0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5493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5493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5493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208" t="s">
        <v>653</v>
      </c>
      <c r="B764" s="21"/>
      <c r="C764" s="206">
        <v>2</v>
      </c>
      <c r="D764" s="206" t="s">
        <v>4831</v>
      </c>
      <c r="E764" s="209">
        <v>4419</v>
      </c>
      <c r="F764" s="192">
        <v>9</v>
      </c>
      <c r="G764" s="210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235.8</v>
      </c>
      <c r="S771" s="18">
        <f t="shared" si="149"/>
        <v>235.8</v>
      </c>
      <c r="T771" s="19">
        <f t="shared" si="150"/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5494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5494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14.04</v>
      </c>
      <c r="S776" s="18">
        <f t="shared" si="153"/>
        <v>0</v>
      </c>
      <c r="T776" s="19">
        <f t="shared" si="154"/>
        <v>-31.2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31.2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5494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5494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5494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5494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5383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145.6</v>
      </c>
      <c r="S781" s="18">
        <f t="shared" si="153"/>
        <v>145.6</v>
      </c>
      <c r="T781" s="19">
        <f t="shared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>IFERROR(Tabela1[[#This Row],[QIANTIDADE EXPEDIDA]]*Tabela1[[#This Row],[PESO UNI]],"")</f>
        <v>145.6</v>
      </c>
      <c r="Y781" s="14">
        <f t="shared" si="155"/>
        <v>0</v>
      </c>
      <c r="Z781" s="20">
        <f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5383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5383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2.4</v>
      </c>
      <c r="S783" s="18">
        <f t="shared" si="153"/>
        <v>2.4</v>
      </c>
      <c r="T783" s="19">
        <f t="shared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2.4</v>
      </c>
      <c r="Y783" s="14">
        <f t="shared" si="155"/>
        <v>0</v>
      </c>
      <c r="Z783" s="20">
        <f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5383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24</v>
      </c>
      <c r="S784" s="18">
        <f t="shared" si="153"/>
        <v>24</v>
      </c>
      <c r="T784" s="19">
        <f t="shared" si="154"/>
        <v>0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1</v>
      </c>
      <c r="AB784" s="33"/>
      <c r="AC784" s="33">
        <v>1</v>
      </c>
      <c r="AD784" s="33">
        <v>1</v>
      </c>
      <c r="AE784" s="33">
        <v>1</v>
      </c>
      <c r="AF784" s="33">
        <v>1</v>
      </c>
      <c r="AG784" s="33">
        <v>1</v>
      </c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5383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5383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5383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5383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5383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5383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5383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5383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5383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2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142.19999999999999</v>
      </c>
      <c r="Y793" s="14">
        <f t="shared" si="155"/>
        <v>0</v>
      </c>
      <c r="Z793" s="20">
        <f>Tabela1[[#This Row],[PESO TOTAL]]-Tabela1[[#This Row],[Peso Expedido]]</f>
        <v>0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5383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5383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2.4</v>
      </c>
      <c r="S795" s="18">
        <f t="shared" si="153"/>
        <v>2.4</v>
      </c>
      <c r="T795" s="19">
        <f t="shared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2.4</v>
      </c>
      <c r="Y795" s="14">
        <f t="shared" si="155"/>
        <v>0</v>
      </c>
      <c r="Z795" s="20">
        <f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5383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24</v>
      </c>
      <c r="S796" s="18">
        <f t="shared" si="153"/>
        <v>24</v>
      </c>
      <c r="T796" s="19">
        <f t="shared" si="154"/>
        <v>0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1</v>
      </c>
      <c r="AB796" s="33"/>
      <c r="AC796" s="33">
        <v>1</v>
      </c>
      <c r="AD796" s="33">
        <v>1</v>
      </c>
      <c r="AE796" s="33">
        <v>1</v>
      </c>
      <c r="AF796" s="33">
        <v>1</v>
      </c>
      <c r="AG796" s="33">
        <v>1</v>
      </c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5383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218.4</v>
      </c>
      <c r="S797" s="18">
        <f t="shared" si="153"/>
        <v>218.4</v>
      </c>
      <c r="T797" s="19">
        <f t="shared" si="154"/>
        <v>0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1</v>
      </c>
      <c r="AB797" s="33"/>
      <c r="AC797" s="33">
        <v>1</v>
      </c>
      <c r="AD797" s="33">
        <v>1</v>
      </c>
      <c r="AE797" s="33">
        <v>1</v>
      </c>
      <c r="AF797" s="33">
        <v>1</v>
      </c>
      <c r="AG797" s="33">
        <v>1</v>
      </c>
      <c r="AH797" s="33">
        <v>1</v>
      </c>
      <c r="AI797" s="33" t="s">
        <v>4412</v>
      </c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5383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5383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5383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5383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5383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5383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5383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5383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5383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1297.5999999999999</v>
      </c>
      <c r="S806" s="18">
        <f t="shared" si="153"/>
        <v>1297.5999999999999</v>
      </c>
      <c r="T806" s="19">
        <f t="shared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>IFERROR(Tabela1[[#This Row],[QIANTIDADE EXPEDIDA]]*Tabela1[[#This Row],[PESO UNI]],"")</f>
        <v>1297.5999999999999</v>
      </c>
      <c r="Y806" s="14">
        <f t="shared" si="155"/>
        <v>0</v>
      </c>
      <c r="Z806" s="20">
        <f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5383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9.6</v>
      </c>
      <c r="S807" s="18">
        <f t="shared" ref="S807:S833" si="158">IFERROR(H807*AG807,"")</f>
        <v>9.6</v>
      </c>
      <c r="T807" s="19">
        <f t="shared" ref="T807:T833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>IFERROR(Tabela1[[#This Row],[QIANTIDADE EXPEDIDA]]*Tabela1[[#This Row],[PESO UNI]],"")</f>
        <v>9.6</v>
      </c>
      <c r="Y807" s="14">
        <f t="shared" ref="Y807:Y833" si="160">U807-C807</f>
        <v>0</v>
      </c>
      <c r="Z807" s="20">
        <f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5383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8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89.6</v>
      </c>
      <c r="Y808" s="14">
        <f t="shared" si="160"/>
        <v>0</v>
      </c>
      <c r="Z808" s="20">
        <f>Tabela1[[#This Row],[PESO TOTAL]]-Tabela1[[#This Row],[Peso Expedido]]</f>
        <v>0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5383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96</v>
      </c>
      <c r="S809" s="18">
        <f t="shared" si="158"/>
        <v>96</v>
      </c>
      <c r="T809" s="19">
        <f t="shared" si="159"/>
        <v>0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1</v>
      </c>
      <c r="AB809" s="33"/>
      <c r="AC809" s="33">
        <v>1</v>
      </c>
      <c r="AD809" s="33">
        <v>1</v>
      </c>
      <c r="AE809" s="33">
        <v>1</v>
      </c>
      <c r="AF809" s="33">
        <v>1</v>
      </c>
      <c r="AG809" s="33">
        <v>1</v>
      </c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5383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5383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181</v>
      </c>
      <c r="S811" s="18">
        <f t="shared" si="158"/>
        <v>181</v>
      </c>
      <c r="T811" s="19">
        <f t="shared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>IFERROR(Tabela1[[#This Row],[QIANTIDADE EXPEDIDA]]*Tabela1[[#This Row],[PESO UNI]],"")</f>
        <v>181</v>
      </c>
      <c r="Y811" s="14">
        <f t="shared" si="160"/>
        <v>0</v>
      </c>
      <c r="Z811" s="20">
        <f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5383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5383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2.4</v>
      </c>
      <c r="S813" s="18">
        <f t="shared" si="158"/>
        <v>2.4</v>
      </c>
      <c r="T813" s="19">
        <f t="shared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2.4</v>
      </c>
      <c r="Y813" s="14">
        <f t="shared" si="160"/>
        <v>0</v>
      </c>
      <c r="Z813" s="20">
        <f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5383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2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22.4</v>
      </c>
      <c r="Y814" s="14">
        <f t="shared" si="160"/>
        <v>0</v>
      </c>
      <c r="Z814" s="20">
        <f>Tabela1[[#This Row],[PESO TOTAL]]-Tabela1[[#This Row],[Peso Expedido]]</f>
        <v>0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5383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6.8</v>
      </c>
      <c r="S815" s="18">
        <f t="shared" si="158"/>
        <v>6.8</v>
      </c>
      <c r="T815" s="19">
        <f t="shared" si="159"/>
        <v>0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1</v>
      </c>
      <c r="AB815" s="33"/>
      <c r="AC815" s="33">
        <v>1</v>
      </c>
      <c r="AD815" s="33">
        <v>1</v>
      </c>
      <c r="AE815" s="33">
        <v>1</v>
      </c>
      <c r="AF815" s="33">
        <v>1</v>
      </c>
      <c r="AG815" s="33">
        <v>1</v>
      </c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5383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12</v>
      </c>
      <c r="S816" s="18">
        <f t="shared" si="158"/>
        <v>12</v>
      </c>
      <c r="T816" s="19">
        <f t="shared" si="159"/>
        <v>0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1</v>
      </c>
      <c r="AB816" s="33"/>
      <c r="AC816" s="33">
        <v>1</v>
      </c>
      <c r="AD816" s="33">
        <v>1</v>
      </c>
      <c r="AE816" s="33">
        <v>1</v>
      </c>
      <c r="AF816" s="33">
        <v>1</v>
      </c>
      <c r="AG816" s="33">
        <v>1</v>
      </c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5383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5488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1146.0999999999999</v>
      </c>
      <c r="S821" s="18">
        <f t="shared" si="158"/>
        <v>1146.0999999999999</v>
      </c>
      <c r="T821" s="19">
        <f t="shared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>IFERROR(Tabela1[[#This Row],[QIANTIDADE EXPEDIDA]]*Tabela1[[#This Row],[PESO UNI]],"")</f>
        <v>1146.0999999999999</v>
      </c>
      <c r="Y821" s="14">
        <f t="shared" si="160"/>
        <v>0</v>
      </c>
      <c r="Z821" s="20">
        <f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5281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5281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5483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5483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5483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5415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670.6</v>
      </c>
      <c r="S839" s="18">
        <f t="shared" si="166"/>
        <v>670.6</v>
      </c>
      <c r="T839" s="19">
        <f t="shared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>IFERROR(Tabela1[[#This Row],[QIANTIDADE EXPEDIDA]]*Tabela1[[#This Row],[PESO UNI]],"")</f>
        <v>670.6</v>
      </c>
      <c r="Y839" s="14">
        <f t="shared" si="168"/>
        <v>0</v>
      </c>
      <c r="Z839" s="20">
        <f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5412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264.96000000000004</v>
      </c>
      <c r="S843" s="18">
        <f>IFERROR(H843*AG843,"")</f>
        <v>235.51999999999998</v>
      </c>
      <c r="T843" s="19">
        <f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64</v>
      </c>
      <c r="D844" s="1" t="s">
        <v>5413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1152.0000000000002</v>
      </c>
      <c r="S844" s="18">
        <f>IFERROR(H844*AG844,"")</f>
        <v>1024</v>
      </c>
      <c r="T844" s="19">
        <f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5411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5414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5411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58.14</v>
      </c>
      <c r="S847" s="18">
        <f t="shared" si="170"/>
        <v>51.68</v>
      </c>
      <c r="T847" s="19">
        <f t="shared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5411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51.840000000000011</v>
      </c>
      <c r="S848" s="18">
        <f t="shared" si="170"/>
        <v>46.080000000000005</v>
      </c>
      <c r="T848" s="19">
        <f t="shared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5411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51.840000000000011</v>
      </c>
      <c r="S849" s="18">
        <f t="shared" si="170"/>
        <v>46.080000000000005</v>
      </c>
      <c r="T849" s="19">
        <f t="shared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5411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49.680000000000007</v>
      </c>
      <c r="S850" s="18">
        <f t="shared" si="170"/>
        <v>44.160000000000004</v>
      </c>
      <c r="T850" s="19">
        <f t="shared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5411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33.120000000000005</v>
      </c>
      <c r="S851" s="18">
        <f t="shared" si="170"/>
        <v>29.439999999999998</v>
      </c>
      <c r="T851" s="19">
        <f t="shared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5411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102.96000000000002</v>
      </c>
      <c r="S852" s="18">
        <f t="shared" si="170"/>
        <v>91.52000000000001</v>
      </c>
      <c r="T852" s="19">
        <f t="shared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12.150000000000002</v>
      </c>
      <c r="S853" s="18">
        <f t="shared" si="170"/>
        <v>10.8</v>
      </c>
      <c r="T853" s="19">
        <f t="shared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5300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>Tabela1[[#This Row],[QTDE/ Fabricação]]-Tabela1[[#This Row],[QTE]]</f>
        <v>-2</v>
      </c>
      <c r="R862" s="7">
        <f t="shared" si="173"/>
        <v>10.4</v>
      </c>
      <c r="S862" s="7">
        <f t="shared" si="174"/>
        <v>10.4</v>
      </c>
      <c r="T862" s="7">
        <f t="shared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>IFERROR(Tabela1[[#This Row],[QIANTIDADE EXPEDIDA]]*Tabela1[[#This Row],[PESO UNI]],"")</f>
        <v>10.4</v>
      </c>
      <c r="Y862" s="14">
        <f t="shared" si="176"/>
        <v>0</v>
      </c>
      <c r="Z862" s="20">
        <f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90</v>
      </c>
      <c r="S869" s="18">
        <f t="shared" si="174"/>
        <v>90</v>
      </c>
      <c r="T869" s="19">
        <f t="shared" si="175"/>
        <v>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1</v>
      </c>
      <c r="AE869" s="33">
        <v>1</v>
      </c>
      <c r="AF869" s="33">
        <v>1</v>
      </c>
      <c r="AG869" s="33">
        <v>1</v>
      </c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105</v>
      </c>
      <c r="S870" s="18">
        <f t="shared" ref="S870" si="178">IFERROR(H870*AG870,"")</f>
        <v>105</v>
      </c>
      <c r="T870" s="19">
        <f t="shared" ref="T870" si="179">IFERROR(S870-H870,"")</f>
        <v>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1</v>
      </c>
      <c r="AE870" s="33">
        <v>1</v>
      </c>
      <c r="AF870" s="33">
        <v>1</v>
      </c>
      <c r="AG870" s="33">
        <v>1</v>
      </c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28" si="181">IFERROR(H871*((AA871*0.25)+(AC871*0.25)+(AD871*0.225)+(AE871*0.225)+(AF871*0.05)),"")</f>
        <v>175</v>
      </c>
      <c r="S871" s="18">
        <f t="shared" ref="S871:S928" si="182">IFERROR(H871*AG871,"")</f>
        <v>175</v>
      </c>
      <c r="T871" s="19">
        <f t="shared" ref="T871:T928" si="183">IFERROR(S871-H871,"")</f>
        <v>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28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1</v>
      </c>
      <c r="AE871" s="33">
        <v>1</v>
      </c>
      <c r="AF871" s="33">
        <v>1</v>
      </c>
      <c r="AG871" s="33">
        <v>1</v>
      </c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9" t="s">
        <v>414</v>
      </c>
      <c r="B873" s="19"/>
      <c r="C873" s="240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>Tabela1[[#This Row],[QTDE/ Fabricação]]-Tabela1[[#This Row],[QTE]]</f>
        <v>-10</v>
      </c>
      <c r="R873" s="19">
        <f t="shared" si="181"/>
        <v>50</v>
      </c>
      <c r="S873" s="19">
        <f t="shared" si="182"/>
        <v>50</v>
      </c>
      <c r="T873" s="19">
        <f t="shared" si="183"/>
        <v>0</v>
      </c>
      <c r="U873" s="19">
        <f>IFERROR(SUMIF('LISTA DE EMBARQUE'!B:B,MICRO!E:E,'LISTA DE EMBARQUE'!G:G),"")</f>
        <v>10</v>
      </c>
      <c r="V873" s="19">
        <f>IFERROR(VLOOKUP(Tabela1[[#This Row],[COD.MDE]],'LISTA DE EMBARQUE'!B:L,11,0),"")</f>
        <v>1</v>
      </c>
      <c r="W873" s="239">
        <f>IFERROR(VLOOKUP(Tabela1[[#This Row],[COD.MDE]],'LISTA DE EMBARQUE'!B:M,12,0),"")</f>
        <v>46273</v>
      </c>
      <c r="X873" s="19">
        <f>IFERROR(Tabela1[[#This Row],[QIANTIDADE EXPEDIDA]]*Tabela1[[#This Row],[PESO UNI]],"")</f>
        <v>50</v>
      </c>
      <c r="Y873" s="14">
        <f t="shared" si="184"/>
        <v>0</v>
      </c>
      <c r="Z873" s="20">
        <f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248.66300000000001</v>
      </c>
      <c r="S874" s="18">
        <f t="shared" si="182"/>
        <v>104.23</v>
      </c>
      <c r="T874" s="19">
        <f t="shared" si="183"/>
        <v>-193.57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>
        <v>1</v>
      </c>
      <c r="AD874" s="33">
        <v>0.7</v>
      </c>
      <c r="AE874" s="33">
        <v>0.7</v>
      </c>
      <c r="AF874" s="33">
        <v>0.4</v>
      </c>
      <c r="AG874" s="33">
        <v>0.35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>Tabela1[[#This Row],[QTDE/ Fabricação]]-Tabela1[[#This Row],[QTE]]</f>
        <v>-1</v>
      </c>
      <c r="R875" s="18">
        <f t="shared" si="181"/>
        <v>248.66300000000001</v>
      </c>
      <c r="S875" s="18">
        <f t="shared" si="182"/>
        <v>104.23</v>
      </c>
      <c r="T875" s="19">
        <f t="shared" si="183"/>
        <v>-193.57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>
        <v>1</v>
      </c>
      <c r="AD875" s="33">
        <v>0.7</v>
      </c>
      <c r="AE875" s="33">
        <v>0.7</v>
      </c>
      <c r="AF875" s="33">
        <v>0.4</v>
      </c>
      <c r="AG875" s="33">
        <v>0.35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>Tabela1[[#This Row],[QTDE/ Fabricação]]-Tabela1[[#This Row],[QTE]]</f>
        <v>-1</v>
      </c>
      <c r="R876" s="18">
        <f t="shared" si="181"/>
        <v>740.31100000000004</v>
      </c>
      <c r="S876" s="18">
        <f t="shared" si="182"/>
        <v>310.31</v>
      </c>
      <c r="T876" s="19">
        <f t="shared" si="183"/>
        <v>-576.29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>
        <v>1</v>
      </c>
      <c r="AD876" s="33">
        <v>0.7</v>
      </c>
      <c r="AE876" s="33">
        <v>0.7</v>
      </c>
      <c r="AF876" s="33">
        <v>0.4</v>
      </c>
      <c r="AG876" s="33">
        <v>0.35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>Tabela1[[#This Row],[QTDE/ Fabricação]]-Tabela1[[#This Row],[QTE]]</f>
        <v>-1</v>
      </c>
      <c r="R877" s="18">
        <f t="shared" si="181"/>
        <v>537.23899999999992</v>
      </c>
      <c r="S877" s="18">
        <f t="shared" si="182"/>
        <v>225.18999999999997</v>
      </c>
      <c r="T877" s="19">
        <f t="shared" si="183"/>
        <v>-418.21000000000004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>
        <v>1</v>
      </c>
      <c r="AD877" s="33">
        <v>0.7</v>
      </c>
      <c r="AE877" s="33">
        <v>0.7</v>
      </c>
      <c r="AF877" s="33">
        <v>0.4</v>
      </c>
      <c r="AG877" s="33">
        <v>0.35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>Tabela1[[#This Row],[QTDE/ Fabricação]]-Tabela1[[#This Row],[QTE]]</f>
        <v>-1</v>
      </c>
      <c r="R878" s="18">
        <f t="shared" si="181"/>
        <v>307.61399999999998</v>
      </c>
      <c r="S878" s="18">
        <f t="shared" si="182"/>
        <v>128.94</v>
      </c>
      <c r="T878" s="19">
        <f t="shared" si="183"/>
        <v>-239.45999999999998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>
        <v>1</v>
      </c>
      <c r="AD878" s="33">
        <v>0.7</v>
      </c>
      <c r="AE878" s="33">
        <v>0.7</v>
      </c>
      <c r="AF878" s="33">
        <v>0.4</v>
      </c>
      <c r="AG878" s="33">
        <v>0.35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>Tabela1[[#This Row],[QTDE/ Fabricação]]-Tabela1[[#This Row],[QTE]]</f>
        <v>-1</v>
      </c>
      <c r="R879" s="18">
        <f t="shared" si="181"/>
        <v>284.48449999999997</v>
      </c>
      <c r="S879" s="18">
        <f t="shared" si="182"/>
        <v>119.24499999999999</v>
      </c>
      <c r="T879" s="19">
        <f t="shared" si="183"/>
        <v>-221.45499999999998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>
        <v>1</v>
      </c>
      <c r="AD879" s="33">
        <v>0.7</v>
      </c>
      <c r="AE879" s="33">
        <v>0.7</v>
      </c>
      <c r="AF879" s="33">
        <v>0.4</v>
      </c>
      <c r="AG879" s="33">
        <v>0.35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5583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5583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5583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5583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5583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5583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5583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5587</v>
      </c>
      <c r="B899" s="21" t="s">
        <v>5104</v>
      </c>
      <c r="C899" s="1">
        <v>67</v>
      </c>
      <c r="D899" s="1" t="s">
        <v>5588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5587</v>
      </c>
      <c r="B900" s="21" t="s">
        <v>5104</v>
      </c>
      <c r="C900" s="1">
        <v>3</v>
      </c>
      <c r="D900" s="1" t="s">
        <v>5589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5587</v>
      </c>
      <c r="B901" s="21" t="s">
        <v>5104</v>
      </c>
      <c r="C901" s="1">
        <v>1</v>
      </c>
      <c r="D901" s="1" t="s">
        <v>5590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5587</v>
      </c>
      <c r="B902" s="21" t="s">
        <v>5104</v>
      </c>
      <c r="C902" s="1">
        <v>6</v>
      </c>
      <c r="D902" s="1" t="s">
        <v>5591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5587</v>
      </c>
      <c r="B903" s="21" t="s">
        <v>5104</v>
      </c>
      <c r="C903" s="1">
        <v>4</v>
      </c>
      <c r="D903" s="1" t="s">
        <v>5592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5587</v>
      </c>
      <c r="B904" s="21" t="s">
        <v>5104</v>
      </c>
      <c r="C904" s="1">
        <v>2</v>
      </c>
      <c r="D904" s="1" t="s">
        <v>5593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5587</v>
      </c>
      <c r="B905" s="21" t="s">
        <v>5104</v>
      </c>
      <c r="C905" s="1">
        <v>1</v>
      </c>
      <c r="D905" s="1" t="s">
        <v>5594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5587</v>
      </c>
      <c r="B906" s="21" t="s">
        <v>5104</v>
      </c>
      <c r="C906" s="1">
        <v>1</v>
      </c>
      <c r="D906" s="1" t="s">
        <v>5595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5587</v>
      </c>
      <c r="B907" s="21" t="s">
        <v>5104</v>
      </c>
      <c r="C907" s="1">
        <v>1</v>
      </c>
      <c r="D907" s="1" t="s">
        <v>5596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5587</v>
      </c>
      <c r="B908" s="21" t="s">
        <v>5104</v>
      </c>
      <c r="C908" s="1">
        <v>1</v>
      </c>
      <c r="D908" s="1" t="s">
        <v>5597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5587</v>
      </c>
      <c r="B909" s="21" t="s">
        <v>5104</v>
      </c>
      <c r="C909" s="1">
        <v>1</v>
      </c>
      <c r="D909" s="1" t="s">
        <v>5598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5587</v>
      </c>
      <c r="B910" s="21" t="s">
        <v>5104</v>
      </c>
      <c r="C910" s="1">
        <v>1</v>
      </c>
      <c r="D910" s="1" t="s">
        <v>5599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5587</v>
      </c>
      <c r="B911" s="21" t="s">
        <v>5104</v>
      </c>
      <c r="C911" s="1">
        <v>1</v>
      </c>
      <c r="D911" s="1" t="s">
        <v>5600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5587</v>
      </c>
      <c r="B912" s="21" t="s">
        <v>5104</v>
      </c>
      <c r="C912" s="1">
        <v>1</v>
      </c>
      <c r="D912" s="1" t="s">
        <v>5601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5587</v>
      </c>
      <c r="B913" s="21" t="s">
        <v>5104</v>
      </c>
      <c r="C913" s="1">
        <v>1</v>
      </c>
      <c r="D913" s="1" t="s">
        <v>5602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5587</v>
      </c>
      <c r="B914" s="21" t="s">
        <v>5104</v>
      </c>
      <c r="C914" s="1">
        <v>2</v>
      </c>
      <c r="D914" s="1" t="s">
        <v>5603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5587</v>
      </c>
      <c r="B915" s="21" t="s">
        <v>5104</v>
      </c>
      <c r="C915" s="1">
        <v>2</v>
      </c>
      <c r="D915" s="1" t="s">
        <v>5604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5587</v>
      </c>
      <c r="B916" s="21" t="s">
        <v>5104</v>
      </c>
      <c r="C916" s="1">
        <v>2</v>
      </c>
      <c r="D916" s="1" t="s">
        <v>5605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5587</v>
      </c>
      <c r="B917" s="21" t="s">
        <v>5104</v>
      </c>
      <c r="C917" s="1">
        <v>2</v>
      </c>
      <c r="D917" s="1" t="s">
        <v>5606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5587</v>
      </c>
      <c r="B918" s="21" t="s">
        <v>5104</v>
      </c>
      <c r="C918" s="1">
        <v>2</v>
      </c>
      <c r="D918" s="1" t="s">
        <v>5607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5587</v>
      </c>
      <c r="B919" s="21" t="s">
        <v>5104</v>
      </c>
      <c r="C919" s="1">
        <v>2</v>
      </c>
      <c r="D919" s="1" t="s">
        <v>5608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5587</v>
      </c>
      <c r="B920" s="21" t="s">
        <v>5104</v>
      </c>
      <c r="C920" s="1">
        <v>2</v>
      </c>
      <c r="D920" s="1" t="s">
        <v>5609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5587</v>
      </c>
      <c r="B921" s="21" t="s">
        <v>5104</v>
      </c>
      <c r="C921" s="1">
        <v>2</v>
      </c>
      <c r="D921" s="1" t="s">
        <v>5610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5587</v>
      </c>
      <c r="B922" s="21" t="s">
        <v>5104</v>
      </c>
      <c r="C922" s="1">
        <v>2</v>
      </c>
      <c r="D922" s="1" t="s">
        <v>5611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5587</v>
      </c>
      <c r="B923" s="21" t="s">
        <v>5104</v>
      </c>
      <c r="C923" s="1">
        <v>2</v>
      </c>
      <c r="D923" s="1" t="s">
        <v>5612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5587</v>
      </c>
      <c r="B924" s="21" t="s">
        <v>5104</v>
      </c>
      <c r="C924" s="1">
        <v>2</v>
      </c>
      <c r="D924" s="1" t="s">
        <v>5613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5587</v>
      </c>
      <c r="B925" s="21" t="s">
        <v>5104</v>
      </c>
      <c r="C925" s="1">
        <v>2</v>
      </c>
      <c r="D925" s="1" t="s">
        <v>5614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5587</v>
      </c>
      <c r="B926" s="21" t="s">
        <v>5104</v>
      </c>
      <c r="C926" s="1">
        <v>1</v>
      </c>
      <c r="D926" s="1" t="s">
        <v>5615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5587</v>
      </c>
      <c r="B927" s="21" t="s">
        <v>5104</v>
      </c>
      <c r="C927" s="1">
        <v>1</v>
      </c>
      <c r="D927" s="1" t="s">
        <v>5616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>Tabela1[[#This Row],[QTDE/ Fabricação]]-Tabela1[[#This Row],[QTE]]</f>
        <v>-1</v>
      </c>
      <c r="R928" s="18">
        <f t="shared" si="181"/>
        <v>70.52409999999999</v>
      </c>
      <c r="S928" s="18">
        <f t="shared" si="182"/>
        <v>29.560999999999996</v>
      </c>
      <c r="T928" s="19">
        <f t="shared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4"/>
        <v>-1</v>
      </c>
      <c r="Z928" s="20">
        <f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>Tabela1[[#This Row],[QTDE/ Fabricação]]-Tabela1[[#This Row],[QTE]]</f>
        <v>-2</v>
      </c>
      <c r="R929" s="18">
        <f t="shared" ref="R929:R960" si="189">IFERROR(H929*((AA929*0.25)+(AC929*0.25)+(AD929*0.225)+(AE929*0.225)+(AF929*0.05)),"")</f>
        <v>116.2487</v>
      </c>
      <c r="S929" s="18">
        <f t="shared" ref="S929:S960" si="190">IFERROR(H929*AG929,"")</f>
        <v>48.726999999999997</v>
      </c>
      <c r="T929" s="19">
        <f t="shared" ref="T929:T960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ref="Y929:Y960" si="192">U929-C929</f>
        <v>-2</v>
      </c>
      <c r="Z929" s="20">
        <f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-6</v>
      </c>
      <c r="R931" s="18">
        <f t="shared" si="189"/>
        <v>30.410699999999999</v>
      </c>
      <c r="S931" s="18">
        <f t="shared" si="190"/>
        <v>12.747</v>
      </c>
      <c r="T931" s="19">
        <f t="shared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-6</v>
      </c>
      <c r="Z931" s="20">
        <f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 t="shared" si="189"/>
        <v>17.1008</v>
      </c>
      <c r="S934" s="18">
        <f t="shared" si="190"/>
        <v>7.1679999999999993</v>
      </c>
      <c r="T934" s="19">
        <f t="shared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>Tabela1[[#This Row],[QTDE/ Fabricação]]-Tabela1[[#This Row],[QTE]]</f>
        <v>-2</v>
      </c>
      <c r="R935" s="18">
        <f t="shared" si="189"/>
        <v>30.961799999999997</v>
      </c>
      <c r="S935" s="18">
        <f t="shared" si="190"/>
        <v>12.977999999999998</v>
      </c>
      <c r="T935" s="19">
        <f t="shared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-2</v>
      </c>
      <c r="Z935" s="20">
        <f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68.887500000000003</v>
      </c>
      <c r="S936" s="18">
        <f t="shared" si="190"/>
        <v>28.874999999999996</v>
      </c>
      <c r="T936" s="19">
        <f t="shared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68.353099999999998</v>
      </c>
      <c r="S937" s="18">
        <f t="shared" si="190"/>
        <v>28.650999999999996</v>
      </c>
      <c r="T937" s="19">
        <f t="shared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>Tabela1[[#This Row],[QTDE/ Fabricação]]-Tabela1[[#This Row],[QTE]]</f>
        <v>-3</v>
      </c>
      <c r="R938" s="18">
        <f t="shared" si="189"/>
        <v>209.96909999999997</v>
      </c>
      <c r="S938" s="18">
        <f t="shared" si="190"/>
        <v>88.010999999999981</v>
      </c>
      <c r="T938" s="19">
        <f t="shared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-3</v>
      </c>
      <c r="Z938" s="20">
        <f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>Tabela1[[#This Row],[QTDE/ Fabricação]]-Tabela1[[#This Row],[QTE]]</f>
        <v>-2</v>
      </c>
      <c r="R939" s="18">
        <f t="shared" si="189"/>
        <v>142.11699999999999</v>
      </c>
      <c r="S939" s="18">
        <f t="shared" si="190"/>
        <v>59.569999999999993</v>
      </c>
      <c r="T939" s="19">
        <f t="shared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-2</v>
      </c>
      <c r="Z939" s="20">
        <f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>Tabela1[[#This Row],[QTDE/ Fabricação]]-Tabela1[[#This Row],[QTE]]</f>
        <v>-1</v>
      </c>
      <c r="R940" s="18">
        <f t="shared" si="189"/>
        <v>72.619950000000003</v>
      </c>
      <c r="S940" s="18">
        <f t="shared" si="190"/>
        <v>30.439499999999999</v>
      </c>
      <c r="T940" s="19">
        <f t="shared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</v>
      </c>
      <c r="Z940" s="20">
        <f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>Tabela1[[#This Row],[QTDE/ Fabricação]]-Tabela1[[#This Row],[QTE]]</f>
        <v>-1</v>
      </c>
      <c r="R941" s="18">
        <f t="shared" si="189"/>
        <v>73.154349999999994</v>
      </c>
      <c r="S941" s="18">
        <f t="shared" si="190"/>
        <v>30.663499999999999</v>
      </c>
      <c r="T941" s="19">
        <f t="shared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-1</v>
      </c>
      <c r="Z941" s="20">
        <f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>Tabela1[[#This Row],[QTDE/ Fabricação]]-Tabela1[[#This Row],[QTE]]</f>
        <v>-4</v>
      </c>
      <c r="R942" s="18">
        <f t="shared" si="189"/>
        <v>87.708399999999997</v>
      </c>
      <c r="S942" s="18">
        <f t="shared" si="190"/>
        <v>36.764000000000003</v>
      </c>
      <c r="T942" s="19">
        <f t="shared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-4</v>
      </c>
      <c r="Z942" s="20">
        <f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>Tabela1[[#This Row],[QTDE/ Fabricação]]-Tabela1[[#This Row],[QTE]]</f>
        <v>-4</v>
      </c>
      <c r="R943" s="18">
        <f t="shared" si="189"/>
        <v>106.27879999999999</v>
      </c>
      <c r="S943" s="18">
        <f t="shared" si="190"/>
        <v>44.547999999999995</v>
      </c>
      <c r="T943" s="19">
        <f t="shared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-4</v>
      </c>
      <c r="Z943" s="20">
        <f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>Tabela1[[#This Row],[QTDE/ Fabricação]]-Tabela1[[#This Row],[QTE]]</f>
        <v>-4</v>
      </c>
      <c r="R944" s="18">
        <f t="shared" si="189"/>
        <v>100.53400000000001</v>
      </c>
      <c r="S944" s="18">
        <f t="shared" si="190"/>
        <v>42.14</v>
      </c>
      <c r="T944" s="19">
        <f t="shared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-4</v>
      </c>
      <c r="Z944" s="20">
        <f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>Tabela1[[#This Row],[QTDE/ Fabricação]]-Tabela1[[#This Row],[QTE]]</f>
        <v>-4</v>
      </c>
      <c r="R945" s="18">
        <f t="shared" si="189"/>
        <v>114.22800000000001</v>
      </c>
      <c r="S945" s="18">
        <f t="shared" si="190"/>
        <v>47.88</v>
      </c>
      <c r="T945" s="19">
        <f t="shared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-4</v>
      </c>
      <c r="Z945" s="20">
        <f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>Tabela1[[#This Row],[QTDE/ Fabricação]]-Tabela1[[#This Row],[QTE]]</f>
        <v>-2</v>
      </c>
      <c r="R946" s="18">
        <f t="shared" si="189"/>
        <v>49.031199999999998</v>
      </c>
      <c r="S946" s="18">
        <f t="shared" si="190"/>
        <v>20.552</v>
      </c>
      <c r="T946" s="19">
        <f t="shared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-2</v>
      </c>
      <c r="Z946" s="20">
        <f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>Tabela1[[#This Row],[QTDE/ Fabricação]]-Tabela1[[#This Row],[QTE]]</f>
        <v>-2</v>
      </c>
      <c r="R947" s="18">
        <f t="shared" si="189"/>
        <v>45.858199999999997</v>
      </c>
      <c r="S947" s="18">
        <f t="shared" si="190"/>
        <v>19.221999999999998</v>
      </c>
      <c r="T947" s="19">
        <f t="shared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-2</v>
      </c>
      <c r="Z947" s="20">
        <f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>Tabela1[[#This Row],[QTDE/ Fabricação]]-Tabela1[[#This Row],[QTE]]</f>
        <v>-2</v>
      </c>
      <c r="R948" s="18">
        <f t="shared" si="189"/>
        <v>119.6054</v>
      </c>
      <c r="S948" s="18">
        <f t="shared" si="190"/>
        <v>50.134</v>
      </c>
      <c r="T948" s="19">
        <f t="shared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-2</v>
      </c>
      <c r="Z948" s="20">
        <f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>Tabela1[[#This Row],[QTDE/ Fabricação]]-Tabela1[[#This Row],[QTE]]</f>
        <v>-2</v>
      </c>
      <c r="R949" s="18">
        <f t="shared" si="189"/>
        <v>138.1591</v>
      </c>
      <c r="S949" s="18">
        <f t="shared" si="190"/>
        <v>57.911000000000001</v>
      </c>
      <c r="T949" s="19">
        <f t="shared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-2</v>
      </c>
      <c r="Z949" s="20">
        <f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>Tabela1[[#This Row],[QTDE/ Fabricação]]-Tabela1[[#This Row],[QTE]]</f>
        <v>-1</v>
      </c>
      <c r="R950" s="18">
        <f t="shared" si="189"/>
        <v>77.045449999999988</v>
      </c>
      <c r="S950" s="18">
        <f t="shared" si="190"/>
        <v>32.294499999999999</v>
      </c>
      <c r="T950" s="19">
        <f t="shared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>Tabela1[[#This Row],[QTDE/ Fabricação]]-Tabela1[[#This Row],[QTE]]</f>
        <v>-1</v>
      </c>
      <c r="R951" s="18">
        <f t="shared" si="189"/>
        <v>77.922199999999989</v>
      </c>
      <c r="S951" s="18">
        <f t="shared" si="190"/>
        <v>32.661999999999999</v>
      </c>
      <c r="T951" s="19">
        <f t="shared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>Tabela1[[#This Row],[QTDE/ Fabricação]]-Tabela1[[#This Row],[QTE]]</f>
        <v>-1</v>
      </c>
      <c r="R952" s="18">
        <f t="shared" si="189"/>
        <v>50.634399999999999</v>
      </c>
      <c r="S952" s="18">
        <f t="shared" si="190"/>
        <v>21.224</v>
      </c>
      <c r="T952" s="19">
        <f t="shared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>Tabela1[[#This Row],[QTDE/ Fabricação]]-Tabela1[[#This Row],[QTE]]</f>
        <v>-2</v>
      </c>
      <c r="R953" s="18" t="str">
        <f>IFERROR(H953*((AA953*0.25)+(#REF!*0.25)+(#REF!*0.225)+(#REF!*0.225)+(#REF!*0.05)),"")</f>
        <v/>
      </c>
      <c r="S953" s="18" t="str">
        <f>IFERROR(H953*#REF!,"")</f>
        <v/>
      </c>
      <c r="T953" s="19" t="str">
        <f t="shared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-2</v>
      </c>
      <c r="Z953" s="20">
        <f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>Tabela1[[#This Row],[QTDE/ Fabricação]]-Tabela1[[#This Row],[QTE]]</f>
        <v>-1</v>
      </c>
      <c r="R954" s="18">
        <f>IFERROR(H954*((AA954*0.25)+(AC953*0.25)+(AD953*0.225)+(AE953*0.225)+(AF953*0.05)),"")</f>
        <v>21.743399999999998</v>
      </c>
      <c r="S954" s="18">
        <f>IFERROR(H954*AG953,"")</f>
        <v>9.113999999999999</v>
      </c>
      <c r="T954" s="19">
        <f t="shared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21.743399999999998</v>
      </c>
      <c r="S955" s="18">
        <f t="shared" si="190"/>
        <v>9.113999999999999</v>
      </c>
      <c r="T955" s="19">
        <f t="shared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>Tabela1[[#This Row],[QTDE/ Fabricação]]-Tabela1[[#This Row],[QTE]]</f>
        <v>-1</v>
      </c>
      <c r="R956" s="18">
        <f t="shared" si="189"/>
        <v>148.57155</v>
      </c>
      <c r="S956" s="18">
        <f t="shared" si="190"/>
        <v>62.275500000000001</v>
      </c>
      <c r="T956" s="19">
        <f t="shared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>Tabela1[[#This Row],[QTDE/ Fabricação]]-Tabela1[[#This Row],[QTE]]</f>
        <v>-1</v>
      </c>
      <c r="R957" s="18">
        <f t="shared" si="189"/>
        <v>148.57155</v>
      </c>
      <c r="S957" s="18">
        <f t="shared" si="190"/>
        <v>62.275500000000001</v>
      </c>
      <c r="T957" s="19">
        <f t="shared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-2</v>
      </c>
      <c r="R969" s="18">
        <f t="shared" si="193"/>
        <v>161.2218</v>
      </c>
      <c r="S969" s="18">
        <f t="shared" si="194"/>
        <v>67.578000000000003</v>
      </c>
      <c r="T969" s="19">
        <f t="shared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>Tabela1[[#This Row],[QTDE/ Fabricação]]-Tabela1[[#This Row],[QTE]]</f>
        <v>-2</v>
      </c>
      <c r="R970" s="18">
        <f t="shared" si="193"/>
        <v>188.09209999999999</v>
      </c>
      <c r="S970" s="18">
        <f t="shared" si="194"/>
        <v>78.840999999999994</v>
      </c>
      <c r="T970" s="19">
        <f t="shared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>Tabela1[[#This Row],[QTDE/ Fabricação]]-Tabela1[[#This Row],[QTE]]</f>
        <v>-1</v>
      </c>
      <c r="R971" s="18">
        <f t="shared" si="193"/>
        <v>74.406849999999991</v>
      </c>
      <c r="S971" s="18">
        <f t="shared" si="194"/>
        <v>31.188499999999998</v>
      </c>
      <c r="T971" s="19">
        <f t="shared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>Tabela1[[#This Row],[QTDE/ Fabricação]]-Tabela1[[#This Row],[QTE]]</f>
        <v>-1</v>
      </c>
      <c r="R972" s="18">
        <f t="shared" si="193"/>
        <v>73.763900000000007</v>
      </c>
      <c r="S972" s="18">
        <f t="shared" si="194"/>
        <v>30.919</v>
      </c>
      <c r="T972" s="19">
        <f t="shared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>Tabela1[[#This Row],[QTDE/ Fabricação]]-Tabela1[[#This Row],[QTE]]</f>
        <v>-1</v>
      </c>
      <c r="R973" s="18">
        <f t="shared" si="193"/>
        <v>69.672399999999996</v>
      </c>
      <c r="S973" s="18">
        <f t="shared" si="194"/>
        <v>29.203999999999997</v>
      </c>
      <c r="T973" s="19">
        <f t="shared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>Tabela1[[#This Row],[QTDE/ Fabricação]]-Tabela1[[#This Row],[QTE]]</f>
        <v>-1</v>
      </c>
      <c r="R974" s="18">
        <f t="shared" si="193"/>
        <v>87.791899999999998</v>
      </c>
      <c r="S974" s="18">
        <f t="shared" si="194"/>
        <v>36.798999999999999</v>
      </c>
      <c r="T974" s="19">
        <f t="shared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>Tabela1[[#This Row],[QTDE/ Fabricação]]-Tabela1[[#This Row],[QTE]]</f>
        <v>-1</v>
      </c>
      <c r="R975" s="18">
        <f t="shared" si="193"/>
        <v>87.791899999999998</v>
      </c>
      <c r="S975" s="18">
        <f t="shared" si="194"/>
        <v>36.798999999999999</v>
      </c>
      <c r="T975" s="19">
        <f t="shared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-1</v>
      </c>
      <c r="Z975" s="20">
        <f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>Tabela1[[#This Row],[QTDE/ Fabricação]]-Tabela1[[#This Row],[QTE]]</f>
        <v>-1</v>
      </c>
      <c r="R976" s="18">
        <f t="shared" si="193"/>
        <v>89.87939999999999</v>
      </c>
      <c r="S976" s="18">
        <f t="shared" si="194"/>
        <v>37.673999999999999</v>
      </c>
      <c r="T976" s="19">
        <f t="shared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-1</v>
      </c>
      <c r="Z976" s="20">
        <f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>Tabela1[[#This Row],[QTDE/ Fabricação]]-Tabela1[[#This Row],[QTE]]</f>
        <v>-1</v>
      </c>
      <c r="R977" s="18">
        <f t="shared" si="193"/>
        <v>429.08144999999996</v>
      </c>
      <c r="S977" s="18">
        <f t="shared" si="194"/>
        <v>179.8545</v>
      </c>
      <c r="T977" s="19">
        <f t="shared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-1</v>
      </c>
      <c r="Z977" s="20">
        <f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>Tabela1[[#This Row],[QTDE/ Fabricação]]-Tabela1[[#This Row],[QTE]]</f>
        <v>-1</v>
      </c>
      <c r="R978" s="18">
        <f t="shared" si="193"/>
        <v>403.69745</v>
      </c>
      <c r="S978" s="18">
        <f t="shared" si="194"/>
        <v>169.21449999999999</v>
      </c>
      <c r="T978" s="19">
        <f t="shared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>Tabela1[[#This Row],[QTDE/ Fabricação]]-Tabela1[[#This Row],[QTE]]</f>
        <v>-1</v>
      </c>
      <c r="R979" s="18">
        <f t="shared" si="193"/>
        <v>398.86279999999999</v>
      </c>
      <c r="S979" s="18">
        <f t="shared" si="194"/>
        <v>167.18799999999999</v>
      </c>
      <c r="T979" s="19">
        <f t="shared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-1</v>
      </c>
      <c r="Z979" s="20">
        <f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>Tabela1[[#This Row],[QTDE/ Fabricação]]-Tabela1[[#This Row],[QTE]]</f>
        <v>-1</v>
      </c>
      <c r="R980" s="18">
        <f t="shared" si="193"/>
        <v>417.08249999999998</v>
      </c>
      <c r="S980" s="18">
        <f t="shared" si="194"/>
        <v>174.82499999999999</v>
      </c>
      <c r="T980" s="19">
        <f t="shared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>Tabela1[[#This Row],[PESO UNI]]*Tabela1[[#This Row],[QTE]]</f>
        <v>372</v>
      </c>
      <c r="I1000" s="7" t="s">
        <v>5281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310.62</v>
      </c>
      <c r="S1000" s="18">
        <f t="shared" si="198"/>
        <v>130.19999999999999</v>
      </c>
      <c r="T1000" s="19">
        <f t="shared" si="199"/>
        <v>-241.8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372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5281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>Tabela1[[#This Row],[PESO UNI]]*Tabela1[[#This Row],[QTE]]</f>
        <v>16.8</v>
      </c>
      <c r="I1002" s="7" t="s">
        <v>5281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-8</v>
      </c>
      <c r="R1002" s="18">
        <f t="shared" si="197"/>
        <v>14.028</v>
      </c>
      <c r="S1002" s="18">
        <f t="shared" si="198"/>
        <v>5.88</v>
      </c>
      <c r="T1002" s="19">
        <f t="shared" si="199"/>
        <v>-10.920000000000002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-8</v>
      </c>
      <c r="Z1002" s="20">
        <f>Tabela1[[#This Row],[PESO TOTAL]]-Tabela1[[#This Row],[Peso Expedido]]</f>
        <v>16.8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>Tabela1[[#This Row],[PESO UNI]]*Tabela1[[#This Row],[QTE]]</f>
        <v>3.2</v>
      </c>
      <c r="I1003" s="7" t="s">
        <v>5281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>Tabela1[[#This Row],[QTDE/ Fabricação]]-Tabela1[[#This Row],[QTE]]</f>
        <v>-2</v>
      </c>
      <c r="R1003" s="18">
        <f t="shared" si="197"/>
        <v>2.6720000000000002</v>
      </c>
      <c r="S1003" s="18">
        <f t="shared" si="198"/>
        <v>1.1199999999999999</v>
      </c>
      <c r="T1003" s="19">
        <f t="shared" si="199"/>
        <v>-2.08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-2</v>
      </c>
      <c r="Z1003" s="20">
        <f>Tabela1[[#This Row],[PESO TOTAL]]-Tabela1[[#This Row],[Peso Expedido]]</f>
        <v>3.2</v>
      </c>
      <c r="AA1003" s="17">
        <v>1</v>
      </c>
      <c r="AB1003" s="33"/>
      <c r="AC1003" s="33">
        <v>1</v>
      </c>
      <c r="AD1003" s="33">
        <v>0.7</v>
      </c>
      <c r="AE1003" s="33">
        <v>0.7</v>
      </c>
      <c r="AF1003" s="33">
        <v>0.4</v>
      </c>
      <c r="AG1003" s="33">
        <v>0.35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>Tabela1[[#This Row],[PESO UNI]]*Tabela1[[#This Row],[QTE]]</f>
        <v>1.2</v>
      </c>
      <c r="I1004" s="7" t="s">
        <v>5281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>Tabela1[[#This Row],[QTDE/ Fabricação]]-Tabela1[[#This Row],[QTE]]</f>
        <v>-4</v>
      </c>
      <c r="R1004" s="18">
        <f t="shared" si="197"/>
        <v>1.002</v>
      </c>
      <c r="S1004" s="18">
        <f t="shared" si="198"/>
        <v>0.42</v>
      </c>
      <c r="T1004" s="19">
        <f t="shared" si="199"/>
        <v>-0.78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-4</v>
      </c>
      <c r="Z1004" s="20">
        <f>Tabela1[[#This Row],[PESO TOTAL]]-Tabela1[[#This Row],[Peso Expedido]]</f>
        <v>1.2</v>
      </c>
      <c r="AA1004" s="17">
        <v>1</v>
      </c>
      <c r="AB1004" s="33"/>
      <c r="AC1004" s="33">
        <v>1</v>
      </c>
      <c r="AD1004" s="33">
        <v>0.7</v>
      </c>
      <c r="AE1004" s="33">
        <v>0.7</v>
      </c>
      <c r="AF1004" s="33">
        <v>0.4</v>
      </c>
      <c r="AG1004" s="33">
        <v>0.35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>Tabela1[[#This Row],[PESO UNI]]*Tabela1[[#This Row],[QTE]]</f>
        <v>28.8</v>
      </c>
      <c r="I1005" s="7" t="s">
        <v>5281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>Tabela1[[#This Row],[QTDE/ Fabricação]]-Tabela1[[#This Row],[QTE]]</f>
        <v>-2</v>
      </c>
      <c r="R1005" s="18">
        <f t="shared" si="197"/>
        <v>24.047999999999998</v>
      </c>
      <c r="S1005" s="18">
        <f t="shared" si="198"/>
        <v>10.08</v>
      </c>
      <c r="T1005" s="19">
        <f t="shared" si="199"/>
        <v>-18.72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-2</v>
      </c>
      <c r="Z1005" s="20">
        <f>Tabela1[[#This Row],[PESO TOTAL]]-Tabela1[[#This Row],[Peso Expedido]]</f>
        <v>28.8</v>
      </c>
      <c r="AA1005" s="17">
        <v>1</v>
      </c>
      <c r="AB1005" s="33"/>
      <c r="AC1005" s="33">
        <v>1</v>
      </c>
      <c r="AD1005" s="33">
        <v>0.7</v>
      </c>
      <c r="AE1005" s="33">
        <v>0.7</v>
      </c>
      <c r="AF1005" s="33">
        <v>0.4</v>
      </c>
      <c r="AG1005" s="33">
        <v>0.35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5416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>Tabela1[[#This Row],[PESO UNI]]*Tabela1[[#This Row],[QTE]]</f>
        <v>408.6</v>
      </c>
      <c r="I1006" s="7" t="s">
        <v>5281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>Tabela1[[#This Row],[QTDE/ Fabricação]]-Tabela1[[#This Row],[QTE]]</f>
        <v>-1</v>
      </c>
      <c r="R1006" s="18">
        <f t="shared" si="197"/>
        <v>341.18099999999998</v>
      </c>
      <c r="S1006" s="18">
        <f t="shared" si="198"/>
        <v>143.01</v>
      </c>
      <c r="T1006" s="19">
        <f t="shared" si="199"/>
        <v>-265.59000000000003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-1</v>
      </c>
      <c r="Z1006" s="20">
        <f>Tabela1[[#This Row],[PESO TOTAL]]-Tabela1[[#This Row],[Peso Expedido]]</f>
        <v>408.6</v>
      </c>
      <c r="AA1006" s="17">
        <v>1</v>
      </c>
      <c r="AB1006" s="33"/>
      <c r="AC1006" s="33">
        <v>1</v>
      </c>
      <c r="AD1006" s="33">
        <v>0.7</v>
      </c>
      <c r="AE1006" s="33">
        <v>0.7</v>
      </c>
      <c r="AF1006" s="33">
        <v>0.4</v>
      </c>
      <c r="AG1006" s="33">
        <v>0.35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1" t="s">
        <v>5283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5281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5283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5281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5283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5281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5283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5281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5283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5281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5283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5281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5282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>Tabela1[[#This Row],[PESO UNI]]*Tabela1[[#This Row],[QTE]]</f>
        <v>204.2</v>
      </c>
      <c r="I1013" s="7" t="s">
        <v>5281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-1</v>
      </c>
      <c r="R1013" s="18">
        <f t="shared" si="197"/>
        <v>170.50699999999998</v>
      </c>
      <c r="S1013" s="18">
        <f t="shared" si="198"/>
        <v>71.469999999999985</v>
      </c>
      <c r="T1013" s="19">
        <f t="shared" si="199"/>
        <v>-132.73000000000002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0"/>
        <v>-1</v>
      </c>
      <c r="Z1013" s="20">
        <f>Tabela1[[#This Row],[PESO TOTAL]]-Tabela1[[#This Row],[Peso Expedido]]</f>
        <v>204.2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5282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>Tabela1[[#This Row],[PESO UNI]]*Tabela1[[#This Row],[QTE]]</f>
        <v>168.6</v>
      </c>
      <c r="I1014" s="7" t="s">
        <v>5281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>Tabela1[[#This Row],[QTDE/ Fabricação]]-Tabela1[[#This Row],[QTE]]</f>
        <v>-1</v>
      </c>
      <c r="R1014" s="18">
        <f>IFERROR(H1014*((AA1014*0.25)+(AC1014*0.25)+(AD1014*0.225)+(AE1014*0.225)+(AF1014*0.05)),"")</f>
        <v>140.78099999999998</v>
      </c>
      <c r="S1014" s="18">
        <f>IFERROR(H1014*AG1014,"")</f>
        <v>59.009999999999991</v>
      </c>
      <c r="T1014" s="19">
        <f>IFERROR(S1014-H1014,"")</f>
        <v>-109.59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>U1014-C1014</f>
        <v>-1</v>
      </c>
      <c r="Z1014" s="20">
        <f>Tabela1[[#This Row],[PESO TOTAL]]-Tabela1[[#This Row],[Peso Expedido]]</f>
        <v>168.6</v>
      </c>
      <c r="AA1014" s="17">
        <v>1</v>
      </c>
      <c r="AB1014" s="33"/>
      <c r="AC1014" s="33">
        <v>1</v>
      </c>
      <c r="AD1014" s="33">
        <v>0.7</v>
      </c>
      <c r="AE1014" s="33">
        <v>0.7</v>
      </c>
      <c r="AF1014" s="33">
        <v>0.4</v>
      </c>
      <c r="AG1014" s="33">
        <v>0.35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1" t="s">
        <v>5282</v>
      </c>
      <c r="B1015" s="21" t="s">
        <v>5238</v>
      </c>
      <c r="C1015" s="1">
        <v>1</v>
      </c>
      <c r="D1015" s="1" t="s">
        <v>5417</v>
      </c>
      <c r="E1015" s="7">
        <v>4750</v>
      </c>
      <c r="F1015" s="7">
        <v>61</v>
      </c>
      <c r="G1015" s="1">
        <v>36.4</v>
      </c>
      <c r="H1015" s="34">
        <f>Tabela1[[#This Row],[PESO UNI]]*Tabela1[[#This Row],[QTE]]</f>
        <v>36.4</v>
      </c>
      <c r="I1015" s="7" t="s">
        <v>5281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>Tabela1[[#This Row],[QTDE/ Fabricação]]-Tabela1[[#This Row],[QTE]]</f>
        <v>-1</v>
      </c>
      <c r="R1015" s="18">
        <f>IFERROR(H1015*((AA1015*0.25)+(AC1015*0.25)+(AD1015*0.225)+(AE1015*0.225)+(AF1015*0.05)),"")</f>
        <v>30.393999999999998</v>
      </c>
      <c r="S1015" s="18">
        <f>IFERROR(H1015*AG1015,"")</f>
        <v>12.739999999999998</v>
      </c>
      <c r="T1015" s="19">
        <f>IFERROR(S1015-H1015,"")</f>
        <v>-23.66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>U1015-C1015</f>
        <v>-1</v>
      </c>
      <c r="Z1015" s="20">
        <f>Tabela1[[#This Row],[PESO TOTAL]]-Tabela1[[#This Row],[Peso Expedido]]</f>
        <v>36.4</v>
      </c>
      <c r="AA1015" s="17">
        <v>1</v>
      </c>
      <c r="AB1015" s="33"/>
      <c r="AC1015" s="33">
        <v>1</v>
      </c>
      <c r="AD1015" s="33">
        <v>0.7</v>
      </c>
      <c r="AE1015" s="33">
        <v>0.7</v>
      </c>
      <c r="AF1015" s="33">
        <v>0.4</v>
      </c>
      <c r="AG1015" s="33">
        <v>0.35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 t="s">
        <v>5644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 t="s">
        <v>5644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 t="s">
        <v>5644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 t="s">
        <v>5644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 t="s">
        <v>5644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 t="s">
        <v>5644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 t="s">
        <v>5644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5583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5583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5577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5583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5577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5583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5577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5583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5577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5583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5577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5583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5577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5577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5278</v>
      </c>
      <c r="B1034" s="21" t="s">
        <v>5279</v>
      </c>
      <c r="C1034" s="1">
        <v>1</v>
      </c>
      <c r="D1034" s="1" t="s">
        <v>5280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5285</v>
      </c>
      <c r="B1035" s="21"/>
      <c r="C1035" s="206">
        <v>2</v>
      </c>
      <c r="D1035" s="1" t="s">
        <v>5286</v>
      </c>
      <c r="E1035" s="227">
        <v>4681</v>
      </c>
      <c r="F1035" s="192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5287</v>
      </c>
      <c r="B1036" s="21"/>
      <c r="C1036" s="206">
        <v>2</v>
      </c>
      <c r="D1036" s="1" t="s">
        <v>5288</v>
      </c>
      <c r="E1036" s="227">
        <v>4682</v>
      </c>
      <c r="F1036" s="192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5284</v>
      </c>
      <c r="B1037" s="21"/>
      <c r="C1037" s="206">
        <v>1</v>
      </c>
      <c r="D1037" s="1" t="s">
        <v>5289</v>
      </c>
      <c r="E1037" s="227">
        <v>4683</v>
      </c>
      <c r="F1037" s="192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5290</v>
      </c>
      <c r="B1038" s="21"/>
      <c r="C1038" s="206">
        <v>2</v>
      </c>
      <c r="D1038" s="1" t="s">
        <v>5291</v>
      </c>
      <c r="E1038" s="227">
        <v>4684</v>
      </c>
      <c r="F1038" s="192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5292</v>
      </c>
      <c r="B1039" s="21"/>
      <c r="C1039" s="206">
        <v>2</v>
      </c>
      <c r="D1039" s="1" t="s">
        <v>5293</v>
      </c>
      <c r="E1039" s="227">
        <v>4685</v>
      </c>
      <c r="F1039" s="192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5294</v>
      </c>
      <c r="C1040" s="25">
        <v>2</v>
      </c>
      <c r="D1040" s="1" t="s">
        <v>5295</v>
      </c>
      <c r="E1040" s="25">
        <v>4686</v>
      </c>
      <c r="F1040" s="25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customHeight="1" x14ac:dyDescent="0.25">
      <c r="A1041" s="1" t="s">
        <v>5296</v>
      </c>
      <c r="C1041" s="25">
        <v>2</v>
      </c>
      <c r="D1041" s="1" t="s">
        <v>5297</v>
      </c>
      <c r="E1041" s="25">
        <v>4687</v>
      </c>
      <c r="F1041" s="25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customHeight="1" x14ac:dyDescent="0.25">
      <c r="A1042" s="1" t="s">
        <v>5298</v>
      </c>
      <c r="C1042" s="25">
        <v>2</v>
      </c>
      <c r="D1042" s="1" t="s">
        <v>5299</v>
      </c>
      <c r="E1042" s="25">
        <v>4688</v>
      </c>
      <c r="F1042" s="25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48" si="209">IFERROR(H1042*((AA1042*0.25)+(AC1042*0.25)+(AD1042*0.225)+(AE1042*0.225)+(AF1042*0.05)),"")</f>
        <v>0</v>
      </c>
      <c r="S1042" s="18">
        <f t="shared" ref="S1042:S1048" si="210">IFERROR(H1042*AG1042,"")</f>
        <v>0</v>
      </c>
      <c r="T1042" s="19">
        <f t="shared" ref="T1042:T1048" si="211"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48" si="212"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customHeight="1" x14ac:dyDescent="0.25">
      <c r="A1043" s="208" t="s">
        <v>5301</v>
      </c>
      <c r="B1043" s="21" t="s">
        <v>5302</v>
      </c>
      <c r="C1043" s="195">
        <v>1</v>
      </c>
      <c r="D1043" s="1" t="s">
        <v>5303</v>
      </c>
      <c r="E1043" s="227">
        <v>4689</v>
      </c>
      <c r="F1043" s="195">
        <v>24</v>
      </c>
      <c r="G1043" s="1">
        <v>660</v>
      </c>
      <c r="H1043" s="34">
        <f>Tabela1[[#This Row],[PESO UNI]]*Tabela1[[#This Row],[QTE]]</f>
        <v>660</v>
      </c>
      <c r="I1043" s="7" t="s">
        <v>5584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09"/>
        <v>404.25000000000006</v>
      </c>
      <c r="S1043" s="18">
        <f t="shared" si="210"/>
        <v>0</v>
      </c>
      <c r="T1043" s="19">
        <f t="shared" si="211"/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12"/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customHeight="1" x14ac:dyDescent="0.25">
      <c r="A1044" s="208" t="s">
        <v>5304</v>
      </c>
      <c r="B1044" s="21" t="s">
        <v>5305</v>
      </c>
      <c r="C1044" s="195">
        <v>1</v>
      </c>
      <c r="D1044" s="1" t="s">
        <v>5306</v>
      </c>
      <c r="E1044" s="227">
        <v>4690</v>
      </c>
      <c r="F1044" s="195">
        <v>24</v>
      </c>
      <c r="G1044" s="1">
        <v>424.7</v>
      </c>
      <c r="H1044" s="34">
        <f>Tabela1[[#This Row],[PESO UNI]]*Tabela1[[#This Row],[QTE]]</f>
        <v>424.7</v>
      </c>
      <c r="I1044" s="7" t="s">
        <v>5584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customHeight="1" x14ac:dyDescent="0.25">
      <c r="A1045" s="208" t="s">
        <v>5304</v>
      </c>
      <c r="B1045" s="21" t="s">
        <v>5305</v>
      </c>
      <c r="C1045" s="195">
        <v>1</v>
      </c>
      <c r="D1045" s="1" t="s">
        <v>5307</v>
      </c>
      <c r="E1045" s="227">
        <v>4691</v>
      </c>
      <c r="F1045" s="195">
        <v>24</v>
      </c>
      <c r="G1045" s="1">
        <v>254.4</v>
      </c>
      <c r="H1045" s="34">
        <f>Tabela1[[#This Row],[PESO UNI]]*Tabela1[[#This Row],[QTE]]</f>
        <v>254.4</v>
      </c>
      <c r="I1045" s="7" t="s">
        <v>5584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0"/>
      <c r="AR1045" s="37"/>
      <c r="AS1045" s="37"/>
      <c r="AT1045" s="37"/>
      <c r="AU1045" s="37"/>
      <c r="AV1045" s="37"/>
      <c r="AW1045" s="37"/>
    </row>
    <row r="1046" spans="1:49" ht="15.75" customHeight="1" x14ac:dyDescent="0.25">
      <c r="A1046" s="208" t="s">
        <v>5308</v>
      </c>
      <c r="B1046" s="21" t="s">
        <v>5309</v>
      </c>
      <c r="C1046" s="195">
        <v>1</v>
      </c>
      <c r="D1046" s="1" t="s">
        <v>5310</v>
      </c>
      <c r="E1046" s="227">
        <v>4692</v>
      </c>
      <c r="F1046" s="195">
        <v>24</v>
      </c>
      <c r="G1046" s="1">
        <v>433.2</v>
      </c>
      <c r="H1046" s="34">
        <f>Tabela1[[#This Row],[PESO UNI]]*Tabela1[[#This Row],[QTE]]</f>
        <v>433.2</v>
      </c>
      <c r="I1046" s="7" t="s">
        <v>5584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0"/>
      <c r="AR1046" s="37"/>
      <c r="AS1046" s="37"/>
      <c r="AT1046" s="37"/>
      <c r="AU1046" s="37"/>
      <c r="AV1046" s="37"/>
      <c r="AW1046" s="37"/>
    </row>
    <row r="1047" spans="1:49" ht="15.75" customHeight="1" x14ac:dyDescent="0.25">
      <c r="A1047" s="208" t="s">
        <v>5311</v>
      </c>
      <c r="B1047" s="21" t="s">
        <v>5312</v>
      </c>
      <c r="C1047" s="195">
        <v>1</v>
      </c>
      <c r="D1047" s="1" t="s">
        <v>5313</v>
      </c>
      <c r="E1047" s="227">
        <v>4693</v>
      </c>
      <c r="F1047" s="195">
        <v>23</v>
      </c>
      <c r="G1047" s="1">
        <v>425.4</v>
      </c>
      <c r="H1047" s="34">
        <f>Tabela1[[#This Row],[PESO UNI]]*Tabela1[[#This Row],[QTE]]</f>
        <v>425.4</v>
      </c>
      <c r="I1047" s="7" t="s">
        <v>5582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0"/>
      <c r="AR1047" s="37"/>
      <c r="AS1047" s="37"/>
      <c r="AT1047" s="37"/>
      <c r="AU1047" s="37"/>
      <c r="AV1047" s="37"/>
      <c r="AW1047" s="37"/>
    </row>
    <row r="1048" spans="1:49" ht="15.75" customHeight="1" x14ac:dyDescent="0.25">
      <c r="A1048" s="208" t="s">
        <v>5314</v>
      </c>
      <c r="B1048" s="21" t="s">
        <v>5315</v>
      </c>
      <c r="C1048" s="195">
        <v>1</v>
      </c>
      <c r="D1048" s="1" t="s">
        <v>5316</v>
      </c>
      <c r="E1048" s="227">
        <v>4694</v>
      </c>
      <c r="F1048" s="195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5617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0"/>
      <c r="AR1048" s="37"/>
      <c r="AS1048" s="37"/>
      <c r="AT1048" s="37"/>
      <c r="AU1048" s="37"/>
      <c r="AV1048" s="37"/>
      <c r="AW1048" s="37"/>
    </row>
    <row r="1049" spans="1:49" ht="15.75" customHeight="1" x14ac:dyDescent="0.25">
      <c r="A1049" s="208" t="s">
        <v>5317</v>
      </c>
      <c r="B1049" s="21" t="s">
        <v>5318</v>
      </c>
      <c r="C1049" s="195">
        <v>1</v>
      </c>
      <c r="D1049" s="1" t="s">
        <v>5319</v>
      </c>
      <c r="E1049" s="192">
        <v>4695</v>
      </c>
      <c r="F1049" s="195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5583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0"/>
      <c r="AR1049" s="37"/>
      <c r="AS1049" s="37"/>
      <c r="AT1049" s="37"/>
      <c r="AU1049" s="37"/>
      <c r="AV1049" s="37"/>
      <c r="AW1049" s="37"/>
    </row>
    <row r="1050" spans="1:49" ht="15.75" customHeight="1" x14ac:dyDescent="0.25">
      <c r="A1050" s="208" t="s">
        <v>5317</v>
      </c>
      <c r="B1050" s="21" t="s">
        <v>5318</v>
      </c>
      <c r="C1050" s="195">
        <v>2</v>
      </c>
      <c r="D1050" s="1" t="s">
        <v>5320</v>
      </c>
      <c r="E1050" s="192">
        <v>4696</v>
      </c>
      <c r="F1050" s="195">
        <v>25</v>
      </c>
      <c r="G1050" s="1">
        <v>62.1</v>
      </c>
      <c r="H1050" s="34">
        <f>Tabela1[[#This Row],[PESO UNI]]*Tabela1[[#This Row],[QTE]]</f>
        <v>124.2</v>
      </c>
      <c r="I1050" s="7" t="s">
        <v>5583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0"/>
      <c r="AR1050" s="37"/>
      <c r="AS1050" s="37"/>
      <c r="AT1050" s="37"/>
      <c r="AU1050" s="37"/>
      <c r="AV1050" s="37"/>
      <c r="AW1050" s="37"/>
    </row>
    <row r="1051" spans="1:49" ht="15.75" customHeight="1" x14ac:dyDescent="0.25">
      <c r="A1051" s="208" t="s">
        <v>5317</v>
      </c>
      <c r="B1051" s="21" t="s">
        <v>5318</v>
      </c>
      <c r="C1051" s="25">
        <v>2</v>
      </c>
      <c r="D1051" s="1" t="s">
        <v>5321</v>
      </c>
      <c r="E1051" s="25">
        <v>4697</v>
      </c>
      <c r="F1051" s="25">
        <v>25</v>
      </c>
      <c r="G1051" s="1">
        <v>9.5</v>
      </c>
      <c r="H1051" s="34">
        <f>Tabela1[[#This Row],[PESO UNI]]*Tabela1[[#This Row],[QTE]]</f>
        <v>19</v>
      </c>
      <c r="I1051" s="7" t="s">
        <v>5583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0"/>
      <c r="AR1051" s="37"/>
      <c r="AS1051" s="37"/>
    </row>
    <row r="1052" spans="1:49" ht="15.75" customHeight="1" x14ac:dyDescent="0.25">
      <c r="A1052" s="21" t="s">
        <v>5322</v>
      </c>
      <c r="B1052" s="21" t="s">
        <v>5323</v>
      </c>
      <c r="C1052" s="195">
        <v>6</v>
      </c>
      <c r="D1052" s="1" t="s">
        <v>5324</v>
      </c>
      <c r="E1052" s="192">
        <v>4698</v>
      </c>
      <c r="F1052" s="195">
        <v>26</v>
      </c>
      <c r="G1052" s="1">
        <v>49.6</v>
      </c>
      <c r="H1052" s="34">
        <f>Tabela1[[#This Row],[PESO UNI]]*Tabela1[[#This Row],[QTE]]</f>
        <v>297.60000000000002</v>
      </c>
      <c r="I1052" s="7" t="s">
        <v>5617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0"/>
      <c r="AR1052" s="37"/>
      <c r="AS1052" s="37"/>
      <c r="AT1052" s="37"/>
      <c r="AU1052" s="37"/>
      <c r="AV1052" s="37"/>
      <c r="AW1052" s="37"/>
    </row>
    <row r="1053" spans="1:49" ht="15.75" customHeight="1" x14ac:dyDescent="0.25">
      <c r="A1053" s="21" t="s">
        <v>5322</v>
      </c>
      <c r="B1053" s="21" t="s">
        <v>5323</v>
      </c>
      <c r="C1053" s="195">
        <v>6</v>
      </c>
      <c r="D1053" s="1" t="s">
        <v>5325</v>
      </c>
      <c r="E1053" s="192">
        <v>4699</v>
      </c>
      <c r="F1053" s="195">
        <v>26</v>
      </c>
      <c r="G1053" s="1">
        <v>49.6</v>
      </c>
      <c r="H1053" s="34">
        <f>Tabela1[[#This Row],[PESO UNI]]*Tabela1[[#This Row],[QTE]]</f>
        <v>297.60000000000002</v>
      </c>
      <c r="I1053" s="7" t="s">
        <v>5617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0"/>
      <c r="AR1053" s="37"/>
      <c r="AS1053" s="37"/>
      <c r="AT1053" s="37"/>
      <c r="AU1053" s="37"/>
      <c r="AV1053" s="37"/>
      <c r="AW1053" s="37"/>
    </row>
    <row r="1054" spans="1:49" ht="15.75" customHeight="1" x14ac:dyDescent="0.25">
      <c r="A1054" s="21" t="s">
        <v>5322</v>
      </c>
      <c r="B1054" s="21" t="s">
        <v>5323</v>
      </c>
      <c r="C1054" s="195">
        <v>1</v>
      </c>
      <c r="D1054" s="1" t="s">
        <v>5326</v>
      </c>
      <c r="E1054" s="192">
        <v>4700</v>
      </c>
      <c r="F1054" s="195">
        <v>26</v>
      </c>
      <c r="G1054" s="1">
        <v>13.7</v>
      </c>
      <c r="H1054" s="34">
        <f>Tabela1[[#This Row],[PESO UNI]]*Tabela1[[#This Row],[QTE]]</f>
        <v>13.7</v>
      </c>
      <c r="I1054" s="7" t="s">
        <v>5617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0"/>
      <c r="AR1054" s="37"/>
      <c r="AS1054" s="37"/>
      <c r="AT1054" s="37"/>
      <c r="AU1054" s="37"/>
      <c r="AV1054" s="37"/>
      <c r="AW1054" s="37"/>
    </row>
    <row r="1055" spans="1:49" ht="15.75" customHeight="1" x14ac:dyDescent="0.25">
      <c r="A1055" s="21" t="s">
        <v>5322</v>
      </c>
      <c r="B1055" s="21" t="s">
        <v>5323</v>
      </c>
      <c r="C1055" s="195">
        <v>12</v>
      </c>
      <c r="D1055" s="1" t="s">
        <v>5327</v>
      </c>
      <c r="E1055" s="192">
        <v>4701</v>
      </c>
      <c r="F1055" s="195">
        <v>26</v>
      </c>
      <c r="G1055" s="1">
        <v>7</v>
      </c>
      <c r="H1055" s="34">
        <f>Tabela1[[#This Row],[PESO UNI]]*Tabela1[[#This Row],[QTE]]</f>
        <v>84</v>
      </c>
      <c r="I1055" s="7" t="s">
        <v>5617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0"/>
      <c r="AR1055" s="37"/>
      <c r="AS1055" s="37"/>
      <c r="AT1055" s="37"/>
      <c r="AU1055" s="37"/>
      <c r="AV1055" s="37"/>
      <c r="AW1055" s="37"/>
    </row>
    <row r="1056" spans="1:49" ht="15.75" customHeight="1" x14ac:dyDescent="0.25">
      <c r="A1056" s="21" t="s">
        <v>5322</v>
      </c>
      <c r="B1056" s="21" t="s">
        <v>5323</v>
      </c>
      <c r="C1056" s="195">
        <v>12</v>
      </c>
      <c r="D1056" s="1" t="s">
        <v>5328</v>
      </c>
      <c r="E1056" s="192">
        <v>4702</v>
      </c>
      <c r="F1056" s="195">
        <v>26</v>
      </c>
      <c r="G1056" s="1">
        <v>7</v>
      </c>
      <c r="H1056" s="34">
        <f>Tabela1[[#This Row],[PESO UNI]]*Tabela1[[#This Row],[QTE]]</f>
        <v>84</v>
      </c>
      <c r="I1056" s="7" t="s">
        <v>5617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0"/>
      <c r="AR1056" s="37"/>
      <c r="AS1056" s="37"/>
      <c r="AT1056" s="37"/>
      <c r="AU1056" s="37"/>
      <c r="AV1056" s="37"/>
      <c r="AW1056" s="37"/>
    </row>
    <row r="1057" spans="1:49" ht="15.75" customHeight="1" x14ac:dyDescent="0.25">
      <c r="A1057" s="21" t="s">
        <v>5322</v>
      </c>
      <c r="B1057" s="21" t="s">
        <v>5323</v>
      </c>
      <c r="C1057" s="195">
        <v>24</v>
      </c>
      <c r="D1057" s="1" t="s">
        <v>5329</v>
      </c>
      <c r="E1057" s="192">
        <v>4703</v>
      </c>
      <c r="F1057" s="195">
        <v>26</v>
      </c>
      <c r="G1057" s="1">
        <v>0.6</v>
      </c>
      <c r="H1057" s="34">
        <f>Tabela1[[#This Row],[PESO UNI]]*Tabela1[[#This Row],[QTE]]</f>
        <v>14.399999999999999</v>
      </c>
      <c r="I1057" s="7" t="s">
        <v>5617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0"/>
      <c r="AR1057" s="37"/>
      <c r="AS1057" s="37"/>
      <c r="AT1057" s="37"/>
      <c r="AU1057" s="37"/>
      <c r="AV1057" s="37"/>
      <c r="AW1057" s="37"/>
    </row>
    <row r="1058" spans="1:49" ht="15.75" customHeight="1" x14ac:dyDescent="0.25">
      <c r="A1058" s="21" t="s">
        <v>5322</v>
      </c>
      <c r="B1058" s="21" t="s">
        <v>5323</v>
      </c>
      <c r="C1058" s="195">
        <v>12</v>
      </c>
      <c r="D1058" s="1" t="s">
        <v>5332</v>
      </c>
      <c r="E1058" s="192">
        <v>4704</v>
      </c>
      <c r="F1058" s="195">
        <v>26</v>
      </c>
      <c r="G1058" s="1">
        <v>1.7</v>
      </c>
      <c r="H1058" s="34">
        <f>Tabela1[[#This Row],[PESO UNI]]*Tabela1[[#This Row],[QTE]]</f>
        <v>20.399999999999999</v>
      </c>
      <c r="I1058" s="7" t="s">
        <v>5617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0"/>
      <c r="AR1058" s="37"/>
      <c r="AS1058" s="37"/>
      <c r="AT1058" s="37"/>
      <c r="AU1058" s="37"/>
      <c r="AV1058" s="37"/>
      <c r="AW1058" s="37"/>
    </row>
    <row r="1059" spans="1:49" ht="15.75" customHeight="1" x14ac:dyDescent="0.25">
      <c r="A1059" s="21" t="s">
        <v>5322</v>
      </c>
      <c r="B1059" s="21" t="s">
        <v>5323</v>
      </c>
      <c r="C1059" s="195">
        <v>24</v>
      </c>
      <c r="D1059" s="1" t="s">
        <v>5331</v>
      </c>
      <c r="E1059" s="192">
        <v>4705</v>
      </c>
      <c r="F1059" s="195">
        <v>26</v>
      </c>
      <c r="G1059" s="1">
        <v>1.5</v>
      </c>
      <c r="H1059" s="34">
        <f>Tabela1[[#This Row],[PESO UNI]]*Tabela1[[#This Row],[QTE]]</f>
        <v>36</v>
      </c>
      <c r="I1059" s="7" t="s">
        <v>5617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0"/>
      <c r="AR1059" s="37"/>
      <c r="AS1059" s="37"/>
      <c r="AT1059" s="37"/>
      <c r="AU1059" s="37"/>
      <c r="AV1059" s="37"/>
      <c r="AW1059" s="37"/>
    </row>
    <row r="1060" spans="1:49" ht="15.75" customHeight="1" x14ac:dyDescent="0.25">
      <c r="A1060" s="21" t="s">
        <v>5322</v>
      </c>
      <c r="B1060" s="21" t="s">
        <v>5323</v>
      </c>
      <c r="C1060" s="195">
        <v>1</v>
      </c>
      <c r="D1060" s="1" t="s">
        <v>5330</v>
      </c>
      <c r="E1060" s="192">
        <v>4706</v>
      </c>
      <c r="F1060" s="195">
        <v>26</v>
      </c>
      <c r="G1060" s="1">
        <v>1.3</v>
      </c>
      <c r="H1060" s="34">
        <f>Tabela1[[#This Row],[PESO UNI]]*Tabela1[[#This Row],[QTE]]</f>
        <v>1.3</v>
      </c>
      <c r="I1060" s="7" t="s">
        <v>5617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0"/>
      <c r="AR1060" s="37"/>
      <c r="AS1060" s="37"/>
      <c r="AT1060" s="37"/>
      <c r="AU1060" s="37"/>
      <c r="AV1060" s="37"/>
      <c r="AW1060" s="37"/>
    </row>
    <row r="1061" spans="1:49" ht="15.75" customHeight="1" x14ac:dyDescent="0.25">
      <c r="A1061" s="21" t="s">
        <v>5335</v>
      </c>
      <c r="B1061" s="21"/>
      <c r="C1061" s="195">
        <v>2</v>
      </c>
      <c r="D1061" s="1" t="s">
        <v>5336</v>
      </c>
      <c r="E1061" s="192">
        <v>4707</v>
      </c>
      <c r="F1061" s="195">
        <v>22</v>
      </c>
      <c r="G1061" s="1">
        <v>562</v>
      </c>
      <c r="H1061" s="34">
        <f>Tabela1[[#This Row],[PESO UNI]]*Tabela1[[#This Row],[QTE]]</f>
        <v>1124</v>
      </c>
      <c r="I1061" s="7" t="s">
        <v>5402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0"/>
      <c r="AR1061" s="37"/>
      <c r="AS1061" s="37"/>
      <c r="AT1061" s="37"/>
      <c r="AU1061" s="37"/>
      <c r="AV1061" s="37"/>
      <c r="AW1061" s="37"/>
    </row>
    <row r="1062" spans="1:49" ht="15.75" customHeight="1" x14ac:dyDescent="0.25">
      <c r="A1062" s="21" t="s">
        <v>5333</v>
      </c>
      <c r="B1062" s="21" t="s">
        <v>5334</v>
      </c>
      <c r="C1062" s="195">
        <v>1</v>
      </c>
      <c r="D1062" s="1" t="s">
        <v>5337</v>
      </c>
      <c r="E1062" s="192">
        <v>4708</v>
      </c>
      <c r="F1062" s="195">
        <v>27</v>
      </c>
      <c r="G1062" s="1">
        <v>41</v>
      </c>
      <c r="H1062" s="34">
        <f>Tabela1[[#This Row],[PESO UNI]]*Tabela1[[#This Row],[QTE]]</f>
        <v>41</v>
      </c>
      <c r="I1062" s="7" t="s">
        <v>5583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0"/>
      <c r="AR1062" s="37"/>
      <c r="AS1062" s="37"/>
      <c r="AT1062" s="37"/>
      <c r="AU1062" s="37"/>
      <c r="AV1062" s="37"/>
      <c r="AW1062" s="37"/>
    </row>
    <row r="1063" spans="1:49" ht="15.75" customHeight="1" x14ac:dyDescent="0.25">
      <c r="A1063" s="21" t="s">
        <v>5333</v>
      </c>
      <c r="B1063" s="21" t="s">
        <v>5334</v>
      </c>
      <c r="C1063" s="195">
        <v>2</v>
      </c>
      <c r="D1063" s="1" t="s">
        <v>5338</v>
      </c>
      <c r="E1063" s="192">
        <v>4709</v>
      </c>
      <c r="F1063" s="195">
        <v>27</v>
      </c>
      <c r="G1063" s="1">
        <v>5.2</v>
      </c>
      <c r="H1063" s="34">
        <f>Tabela1[[#This Row],[PESO UNI]]*Tabela1[[#This Row],[QTE]]</f>
        <v>10.4</v>
      </c>
      <c r="I1063" s="7" t="s">
        <v>5583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0"/>
      <c r="AR1063" s="37"/>
      <c r="AS1063" s="37"/>
      <c r="AT1063" s="37"/>
      <c r="AU1063" s="37"/>
      <c r="AV1063" s="37"/>
      <c r="AW1063" s="37"/>
    </row>
    <row r="1064" spans="1:49" ht="15.75" customHeight="1" x14ac:dyDescent="0.25">
      <c r="A1064" s="21" t="s">
        <v>5333</v>
      </c>
      <c r="B1064" s="21" t="s">
        <v>5334</v>
      </c>
      <c r="C1064" s="195">
        <v>1</v>
      </c>
      <c r="D1064" s="1" t="s">
        <v>5339</v>
      </c>
      <c r="E1064" s="192">
        <v>4710</v>
      </c>
      <c r="F1064" s="195">
        <v>27</v>
      </c>
      <c r="G1064" s="1">
        <v>12.7</v>
      </c>
      <c r="H1064" s="34">
        <f>Tabela1[[#This Row],[PESO UNI]]*Tabela1[[#This Row],[QTE]]</f>
        <v>12.7</v>
      </c>
      <c r="I1064" s="7" t="s">
        <v>5583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0"/>
      <c r="AR1064" s="37"/>
      <c r="AS1064" s="37"/>
      <c r="AT1064" s="37"/>
      <c r="AU1064" s="37"/>
      <c r="AV1064" s="37"/>
      <c r="AW1064" s="37"/>
    </row>
    <row r="1065" spans="1:49" ht="15.75" customHeight="1" x14ac:dyDescent="0.25">
      <c r="A1065" s="21" t="s">
        <v>5333</v>
      </c>
      <c r="B1065" s="21" t="s">
        <v>5334</v>
      </c>
      <c r="C1065" s="195">
        <v>4</v>
      </c>
      <c r="D1065" s="1" t="s">
        <v>5340</v>
      </c>
      <c r="E1065" s="192">
        <v>4711</v>
      </c>
      <c r="F1065" s="195">
        <v>27</v>
      </c>
      <c r="G1065" s="1">
        <v>0.8</v>
      </c>
      <c r="H1065" s="34">
        <f>Tabela1[[#This Row],[PESO UNI]]*Tabela1[[#This Row],[QTE]]</f>
        <v>3.2</v>
      </c>
      <c r="I1065" s="7" t="s">
        <v>5583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0"/>
      <c r="AR1065" s="37"/>
      <c r="AS1065" s="37"/>
      <c r="AT1065" s="37"/>
      <c r="AU1065" s="37"/>
      <c r="AV1065" s="37"/>
      <c r="AW1065" s="37"/>
    </row>
    <row r="1066" spans="1:49" ht="15.75" customHeight="1" x14ac:dyDescent="0.25">
      <c r="A1066" s="21" t="s">
        <v>5333</v>
      </c>
      <c r="B1066" s="21" t="s">
        <v>5334</v>
      </c>
      <c r="C1066" s="195">
        <v>2</v>
      </c>
      <c r="D1066" s="1" t="s">
        <v>5341</v>
      </c>
      <c r="E1066" s="192">
        <v>4712</v>
      </c>
      <c r="F1066" s="195">
        <v>27</v>
      </c>
      <c r="G1066" s="1">
        <v>0.4</v>
      </c>
      <c r="H1066" s="34">
        <f>Tabela1[[#This Row],[PESO UNI]]*Tabela1[[#This Row],[QTE]]</f>
        <v>0.8</v>
      </c>
      <c r="I1066" s="7" t="s">
        <v>5583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0"/>
      <c r="AR1066" s="37"/>
      <c r="AS1066" s="37"/>
      <c r="AT1066" s="37"/>
      <c r="AU1066" s="37"/>
      <c r="AV1066" s="37"/>
      <c r="AW1066" s="37"/>
    </row>
    <row r="1067" spans="1:49" ht="15.75" customHeight="1" x14ac:dyDescent="0.25">
      <c r="A1067" s="21" t="s">
        <v>5333</v>
      </c>
      <c r="B1067" s="21" t="s">
        <v>5334</v>
      </c>
      <c r="C1067" s="195">
        <v>4</v>
      </c>
      <c r="D1067" s="1" t="s">
        <v>5342</v>
      </c>
      <c r="E1067" s="192">
        <v>4713</v>
      </c>
      <c r="F1067" s="195">
        <v>27</v>
      </c>
      <c r="G1067" s="1">
        <v>0.4</v>
      </c>
      <c r="H1067" s="34">
        <f>Tabela1[[#This Row],[PESO UNI]]*Tabela1[[#This Row],[QTE]]</f>
        <v>1.6</v>
      </c>
      <c r="I1067" s="7" t="s">
        <v>5583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0"/>
      <c r="AR1067" s="37"/>
      <c r="AS1067" s="37"/>
      <c r="AT1067" s="37"/>
      <c r="AU1067" s="37"/>
      <c r="AV1067" s="37"/>
      <c r="AW1067" s="37"/>
    </row>
    <row r="1068" spans="1:49" ht="15.75" customHeight="1" x14ac:dyDescent="0.25">
      <c r="A1068" s="21" t="s">
        <v>5333</v>
      </c>
      <c r="B1068" s="21" t="s">
        <v>5334</v>
      </c>
      <c r="C1068" s="195">
        <v>2</v>
      </c>
      <c r="D1068" s="1" t="s">
        <v>5343</v>
      </c>
      <c r="E1068" s="192">
        <v>4714</v>
      </c>
      <c r="F1068" s="195">
        <v>27</v>
      </c>
      <c r="G1068" s="1">
        <v>0.6</v>
      </c>
      <c r="H1068" s="34">
        <f>Tabela1[[#This Row],[PESO UNI]]*Tabela1[[#This Row],[QTE]]</f>
        <v>1.2</v>
      </c>
      <c r="I1068" s="7" t="s">
        <v>5583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5" si="221">IFERROR(H1068*((AA1068*0.25)+(AC1068*0.25)+(AD1068*0.225)+(AE1068*0.225)+(AF1068*0.05)),"")</f>
        <v>0</v>
      </c>
      <c r="S1068" s="18">
        <f t="shared" ref="S1068:S1095" si="222">IFERROR(H1068*AG1068,"")</f>
        <v>0</v>
      </c>
      <c r="T1068" s="19">
        <f t="shared" ref="T1068:T1095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5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0"/>
      <c r="AR1068" s="37"/>
      <c r="AS1068" s="37"/>
      <c r="AT1068" s="37"/>
      <c r="AU1068" s="37"/>
      <c r="AV1068" s="37"/>
      <c r="AW1068" s="37"/>
    </row>
    <row r="1069" spans="1:49" ht="15.75" customHeight="1" x14ac:dyDescent="0.25">
      <c r="A1069" s="21" t="s">
        <v>5333</v>
      </c>
      <c r="B1069" s="21" t="s">
        <v>5334</v>
      </c>
      <c r="C1069" s="195">
        <v>1</v>
      </c>
      <c r="D1069" s="1" t="s">
        <v>5344</v>
      </c>
      <c r="E1069" s="192">
        <v>4715</v>
      </c>
      <c r="F1069" s="195">
        <v>27</v>
      </c>
      <c r="G1069" s="1">
        <v>104</v>
      </c>
      <c r="H1069" s="34">
        <f>Tabela1[[#This Row],[PESO UNI]]*Tabela1[[#This Row],[QTE]]</f>
        <v>104</v>
      </c>
      <c r="I1069" s="7" t="s">
        <v>5583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0"/>
      <c r="AR1069" s="37"/>
      <c r="AS1069" s="37"/>
      <c r="AT1069" s="37"/>
      <c r="AU1069" s="37"/>
      <c r="AV1069" s="37"/>
      <c r="AW1069" s="37"/>
    </row>
    <row r="1070" spans="1:49" ht="15.75" customHeight="1" x14ac:dyDescent="0.25">
      <c r="A1070" s="21" t="s">
        <v>5345</v>
      </c>
      <c r="B1070" s="21" t="s">
        <v>5346</v>
      </c>
      <c r="C1070" s="195">
        <v>1</v>
      </c>
      <c r="D1070" s="1" t="s">
        <v>5347</v>
      </c>
      <c r="E1070" s="227">
        <v>4716</v>
      </c>
      <c r="F1070" s="195">
        <v>28</v>
      </c>
      <c r="G1070" s="1">
        <v>254.3</v>
      </c>
      <c r="H1070" s="34">
        <f>Tabela1[[#This Row],[PESO UNI]]*Tabela1[[#This Row],[QTE]]</f>
        <v>254.3</v>
      </c>
      <c r="I1070" s="7" t="s">
        <v>5583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0"/>
      <c r="AR1070" s="37"/>
      <c r="AS1070" s="37"/>
      <c r="AT1070" s="37"/>
      <c r="AU1070" s="37"/>
      <c r="AV1070" s="37"/>
      <c r="AW1070" s="37"/>
    </row>
    <row r="1071" spans="1:49" ht="15.75" customHeight="1" x14ac:dyDescent="0.25">
      <c r="A1071" s="21" t="s">
        <v>5345</v>
      </c>
      <c r="B1071" s="21" t="s">
        <v>5346</v>
      </c>
      <c r="C1071" s="195">
        <v>1</v>
      </c>
      <c r="D1071" s="1" t="s">
        <v>5348</v>
      </c>
      <c r="E1071" s="192">
        <v>4717</v>
      </c>
      <c r="F1071" s="195">
        <v>28</v>
      </c>
      <c r="G1071" s="1">
        <v>155.5</v>
      </c>
      <c r="H1071" s="34">
        <f>Tabela1[[#This Row],[PESO UNI]]*Tabela1[[#This Row],[QTE]]</f>
        <v>155.5</v>
      </c>
      <c r="I1071" s="7" t="s">
        <v>5583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0"/>
      <c r="AR1071" s="37"/>
      <c r="AS1071" s="37"/>
      <c r="AT1071" s="37"/>
      <c r="AU1071" s="37"/>
      <c r="AV1071" s="37"/>
      <c r="AW1071" s="37"/>
    </row>
    <row r="1072" spans="1:49" ht="15.75" customHeight="1" x14ac:dyDescent="0.25">
      <c r="A1072" s="21" t="s">
        <v>5349</v>
      </c>
      <c r="B1072" s="21" t="s">
        <v>5350</v>
      </c>
      <c r="C1072" s="195">
        <v>1</v>
      </c>
      <c r="D1072" s="1" t="s">
        <v>5351</v>
      </c>
      <c r="E1072" s="227">
        <v>4718</v>
      </c>
      <c r="F1072" s="195">
        <v>29</v>
      </c>
      <c r="G1072" s="1">
        <v>27.4</v>
      </c>
      <c r="H1072" s="34">
        <f>Tabela1[[#This Row],[PESO UNI]]*Tabela1[[#This Row],[QTE]]</f>
        <v>27.4</v>
      </c>
      <c r="I1072" s="7" t="s">
        <v>5583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0"/>
      <c r="AR1072" s="37"/>
      <c r="AS1072" s="37"/>
      <c r="AT1072" s="37"/>
      <c r="AU1072" s="37"/>
      <c r="AV1072" s="37"/>
      <c r="AW1072" s="37"/>
    </row>
    <row r="1073" spans="1:49" ht="15.75" customHeight="1" x14ac:dyDescent="0.25">
      <c r="A1073" s="21" t="s">
        <v>5349</v>
      </c>
      <c r="B1073" s="21" t="s">
        <v>5350</v>
      </c>
      <c r="C1073" s="195">
        <v>1</v>
      </c>
      <c r="D1073" s="1" t="s">
        <v>5352</v>
      </c>
      <c r="E1073" s="192">
        <v>4719</v>
      </c>
      <c r="F1073" s="195">
        <v>29</v>
      </c>
      <c r="G1073" s="1">
        <v>13.2</v>
      </c>
      <c r="H1073" s="34">
        <f>Tabela1[[#This Row],[PESO UNI]]*Tabela1[[#This Row],[QTE]]</f>
        <v>13.2</v>
      </c>
      <c r="I1073" s="7" t="s">
        <v>5583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0"/>
      <c r="AR1073" s="37"/>
      <c r="AS1073" s="37"/>
      <c r="AT1073" s="37"/>
      <c r="AU1073" s="37"/>
      <c r="AV1073" s="37"/>
      <c r="AW1073" s="37"/>
    </row>
    <row r="1074" spans="1:49" ht="15.75" customHeight="1" x14ac:dyDescent="0.25">
      <c r="A1074" s="21" t="s">
        <v>5349</v>
      </c>
      <c r="B1074" s="21" t="s">
        <v>5350</v>
      </c>
      <c r="C1074" s="195">
        <v>1</v>
      </c>
      <c r="D1074" s="1" t="s">
        <v>5353</v>
      </c>
      <c r="E1074" s="192">
        <v>4720</v>
      </c>
      <c r="F1074" s="195">
        <v>29</v>
      </c>
      <c r="G1074" s="1">
        <v>9.6</v>
      </c>
      <c r="H1074" s="34">
        <f>Tabela1[[#This Row],[PESO UNI]]*Tabela1[[#This Row],[QTE]]</f>
        <v>9.6</v>
      </c>
      <c r="I1074" s="7" t="s">
        <v>5583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0"/>
      <c r="AR1074" s="37"/>
      <c r="AS1074" s="37"/>
      <c r="AT1074" s="37"/>
      <c r="AU1074" s="37"/>
      <c r="AV1074" s="37"/>
      <c r="AW1074" s="37"/>
    </row>
    <row r="1075" spans="1:49" ht="15.75" customHeight="1" x14ac:dyDescent="0.25">
      <c r="A1075" s="21" t="s">
        <v>5349</v>
      </c>
      <c r="B1075" s="21" t="s">
        <v>5350</v>
      </c>
      <c r="C1075" s="195">
        <v>1</v>
      </c>
      <c r="D1075" s="1" t="s">
        <v>5354</v>
      </c>
      <c r="E1075" s="192">
        <v>4721</v>
      </c>
      <c r="F1075" s="195">
        <v>29</v>
      </c>
      <c r="G1075" s="1">
        <v>20.2</v>
      </c>
      <c r="H1075" s="34">
        <f>Tabela1[[#This Row],[PESO UNI]]*Tabela1[[#This Row],[QTE]]</f>
        <v>20.2</v>
      </c>
      <c r="I1075" s="7" t="s">
        <v>5583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0"/>
      <c r="AR1075" s="37"/>
      <c r="AS1075" s="37"/>
      <c r="AT1075" s="37"/>
      <c r="AU1075" s="37"/>
      <c r="AV1075" s="37"/>
      <c r="AW1075" s="37"/>
    </row>
    <row r="1076" spans="1:49" ht="15.75" customHeight="1" x14ac:dyDescent="0.25">
      <c r="A1076" s="21" t="s">
        <v>5349</v>
      </c>
      <c r="B1076" s="21" t="s">
        <v>5350</v>
      </c>
      <c r="C1076" s="195">
        <v>1</v>
      </c>
      <c r="D1076" s="1" t="s">
        <v>5355</v>
      </c>
      <c r="E1076" s="192">
        <v>4722</v>
      </c>
      <c r="F1076" s="195">
        <v>29</v>
      </c>
      <c r="G1076" s="1">
        <v>11</v>
      </c>
      <c r="H1076" s="34">
        <f>Tabela1[[#This Row],[PESO UNI]]*Tabela1[[#This Row],[QTE]]</f>
        <v>11</v>
      </c>
      <c r="I1076" s="7" t="s">
        <v>5583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0"/>
      <c r="AR1076" s="37"/>
      <c r="AS1076" s="37"/>
      <c r="AT1076" s="37"/>
      <c r="AU1076" s="37"/>
      <c r="AV1076" s="37"/>
      <c r="AW1076" s="37"/>
    </row>
    <row r="1077" spans="1:49" ht="15.75" customHeight="1" x14ac:dyDescent="0.25">
      <c r="A1077" s="21" t="s">
        <v>5349</v>
      </c>
      <c r="B1077" s="21" t="s">
        <v>5350</v>
      </c>
      <c r="C1077" s="195">
        <v>1</v>
      </c>
      <c r="D1077" s="1" t="s">
        <v>5356</v>
      </c>
      <c r="E1077" s="192">
        <v>4723</v>
      </c>
      <c r="F1077" s="195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5583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0"/>
      <c r="AR1077" s="37"/>
      <c r="AS1077" s="37"/>
      <c r="AT1077" s="37"/>
      <c r="AU1077" s="37"/>
      <c r="AV1077" s="37"/>
      <c r="AW1077" s="37"/>
    </row>
    <row r="1078" spans="1:49" ht="15.75" customHeight="1" x14ac:dyDescent="0.25">
      <c r="A1078" s="21" t="s">
        <v>5349</v>
      </c>
      <c r="B1078" s="21" t="s">
        <v>5350</v>
      </c>
      <c r="C1078" s="195">
        <v>1</v>
      </c>
      <c r="D1078" s="1" t="s">
        <v>5357</v>
      </c>
      <c r="E1078" s="192">
        <v>4724</v>
      </c>
      <c r="F1078" s="195">
        <v>29</v>
      </c>
      <c r="G1078" s="1">
        <v>0.4</v>
      </c>
      <c r="H1078" s="34">
        <f>Tabela1[[#This Row],[PESO UNI]]*Tabela1[[#This Row],[QTE]]</f>
        <v>0.4</v>
      </c>
      <c r="I1078" s="7" t="s">
        <v>5583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0"/>
      <c r="AR1078" s="37"/>
      <c r="AS1078" s="37"/>
      <c r="AT1078" s="37"/>
      <c r="AU1078" s="37"/>
      <c r="AV1078" s="37"/>
      <c r="AW1078" s="37"/>
    </row>
    <row r="1079" spans="1:49" s="21" customFormat="1" ht="15.75" customHeight="1" x14ac:dyDescent="0.25">
      <c r="A1079" s="21" t="s">
        <v>5358</v>
      </c>
      <c r="B1079" s="21" t="s">
        <v>5359</v>
      </c>
      <c r="C1079" s="21">
        <v>1</v>
      </c>
      <c r="D1079" s="1" t="s">
        <v>5360</v>
      </c>
      <c r="E1079" s="21">
        <v>4725</v>
      </c>
      <c r="F1079" s="21">
        <v>30</v>
      </c>
      <c r="G1079" s="1">
        <v>91</v>
      </c>
      <c r="H1079" s="34">
        <f>Tabela1[[#This Row],[PESO UNI]]*Tabela1[[#This Row],[QTE]]</f>
        <v>91</v>
      </c>
      <c r="I1079" s="7" t="s">
        <v>5583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0"/>
    </row>
    <row r="1080" spans="1:49" s="21" customFormat="1" ht="15.75" customHeight="1" x14ac:dyDescent="0.25">
      <c r="A1080" s="21" t="s">
        <v>5358</v>
      </c>
      <c r="B1080" s="21" t="s">
        <v>5359</v>
      </c>
      <c r="C1080" s="21">
        <v>2</v>
      </c>
      <c r="D1080" s="1" t="s">
        <v>5361</v>
      </c>
      <c r="E1080" s="21">
        <v>4726</v>
      </c>
      <c r="F1080" s="21">
        <v>30</v>
      </c>
      <c r="G1080" s="1">
        <v>13.25</v>
      </c>
      <c r="H1080" s="34">
        <f>Tabela1[[#This Row],[PESO UNI]]*Tabela1[[#This Row],[QTE]]</f>
        <v>26.5</v>
      </c>
      <c r="I1080" s="7" t="s">
        <v>5583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0"/>
    </row>
    <row r="1081" spans="1:49" s="21" customFormat="1" ht="15.75" customHeight="1" x14ac:dyDescent="0.25">
      <c r="A1081" s="21" t="s">
        <v>5358</v>
      </c>
      <c r="B1081" s="21" t="s">
        <v>5359</v>
      </c>
      <c r="C1081" s="21">
        <v>18</v>
      </c>
      <c r="D1081" s="1" t="s">
        <v>5362</v>
      </c>
      <c r="E1081" s="21">
        <v>4727</v>
      </c>
      <c r="F1081" s="21">
        <v>30</v>
      </c>
      <c r="G1081" s="1">
        <v>1.2</v>
      </c>
      <c r="H1081" s="34">
        <f>Tabela1[[#This Row],[PESO UNI]]*Tabela1[[#This Row],[QTE]]</f>
        <v>21.599999999999998</v>
      </c>
      <c r="I1081" s="7" t="s">
        <v>5583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0"/>
    </row>
    <row r="1082" spans="1:49" s="36" customFormat="1" ht="15.75" customHeight="1" x14ac:dyDescent="0.25">
      <c r="A1082" s="21" t="s">
        <v>5363</v>
      </c>
      <c r="B1082" s="21" t="s">
        <v>5364</v>
      </c>
      <c r="C1082" s="192">
        <v>2</v>
      </c>
      <c r="D1082" s="1" t="s">
        <v>5365</v>
      </c>
      <c r="E1082" s="227">
        <v>4728</v>
      </c>
      <c r="F1082" s="192">
        <v>31</v>
      </c>
      <c r="G1082" s="1">
        <v>93.6</v>
      </c>
      <c r="H1082" s="34">
        <f>Tabela1[[#This Row],[PESO UNI]]*Tabela1[[#This Row],[QTE]]</f>
        <v>187.2</v>
      </c>
      <c r="I1082" s="7" t="s">
        <v>5583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 t="shared" si="221"/>
        <v>93.6</v>
      </c>
      <c r="S1082" s="18">
        <f t="shared" si="222"/>
        <v>0</v>
      </c>
      <c r="T1082" s="19">
        <f t="shared" si="223"/>
        <v>-187.2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-2</v>
      </c>
      <c r="Z1082" s="20">
        <f>Tabela1[[#This Row],[PESO TOTAL]]-Tabela1[[#This Row],[Peso Expedido]]</f>
        <v>187.2</v>
      </c>
      <c r="AA1082" s="17">
        <v>1</v>
      </c>
      <c r="AB1082" s="33"/>
      <c r="AC1082" s="33">
        <v>1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0"/>
      <c r="AR1082" s="21"/>
      <c r="AS1082" s="21"/>
      <c r="AT1082" s="228"/>
      <c r="AU1082" s="228"/>
      <c r="AV1082" s="228"/>
      <c r="AW1082" s="228"/>
    </row>
    <row r="1083" spans="1:49" s="36" customFormat="1" ht="15.75" customHeight="1" x14ac:dyDescent="0.25">
      <c r="A1083" s="21" t="s">
        <v>5363</v>
      </c>
      <c r="B1083" s="21" t="s">
        <v>5364</v>
      </c>
      <c r="C1083" s="192">
        <v>18</v>
      </c>
      <c r="D1083" s="1" t="s">
        <v>5366</v>
      </c>
      <c r="E1083" s="192">
        <v>4729</v>
      </c>
      <c r="F1083" s="192">
        <v>31</v>
      </c>
      <c r="G1083" s="1">
        <v>36.200000000000003</v>
      </c>
      <c r="H1083" s="34">
        <f>Tabela1[[#This Row],[PESO UNI]]*Tabela1[[#This Row],[QTE]]</f>
        <v>651.6</v>
      </c>
      <c r="I1083" s="7" t="s">
        <v>5583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-18</v>
      </c>
      <c r="R1083" s="18">
        <f t="shared" si="221"/>
        <v>325.8</v>
      </c>
      <c r="S1083" s="18">
        <f t="shared" si="222"/>
        <v>0</v>
      </c>
      <c r="T1083" s="19">
        <f t="shared" si="223"/>
        <v>-651.6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si="224"/>
        <v>-18</v>
      </c>
      <c r="Z1083" s="20">
        <f>Tabela1[[#This Row],[PESO TOTAL]]-Tabela1[[#This Row],[Peso Expedido]]</f>
        <v>651.6</v>
      </c>
      <c r="AA1083" s="17">
        <v>1</v>
      </c>
      <c r="AB1083" s="33"/>
      <c r="AC1083" s="33">
        <v>1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0"/>
      <c r="AR1083" s="21"/>
      <c r="AS1083" s="21"/>
      <c r="AT1083" s="228"/>
      <c r="AU1083" s="228"/>
      <c r="AV1083" s="228"/>
      <c r="AW1083" s="228"/>
    </row>
    <row r="1084" spans="1:49" s="36" customFormat="1" ht="15.75" customHeight="1" x14ac:dyDescent="0.25">
      <c r="A1084" s="21" t="s">
        <v>5367</v>
      </c>
      <c r="B1084" s="21" t="s">
        <v>5368</v>
      </c>
      <c r="C1084" s="192">
        <v>1</v>
      </c>
      <c r="D1084" s="1" t="s">
        <v>5369</v>
      </c>
      <c r="E1084" s="227">
        <v>4730</v>
      </c>
      <c r="F1084" s="192">
        <v>31</v>
      </c>
      <c r="G1084" s="1">
        <v>36</v>
      </c>
      <c r="H1084" s="34">
        <f>Tabela1[[#This Row],[PESO UNI]]*Tabela1[[#This Row],[QTE]]</f>
        <v>36</v>
      </c>
      <c r="I1084" s="7" t="s">
        <v>5583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-1</v>
      </c>
      <c r="R1084" s="18">
        <f t="shared" si="221"/>
        <v>0</v>
      </c>
      <c r="S1084" s="18">
        <f t="shared" si="222"/>
        <v>0</v>
      </c>
      <c r="T1084" s="19">
        <f t="shared" si="223"/>
        <v>-36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-1</v>
      </c>
      <c r="Z1084" s="20">
        <f>Tabela1[[#This Row],[PESO TOTAL]]-Tabela1[[#This Row],[Peso Expedido]]</f>
        <v>36</v>
      </c>
      <c r="AA1084" s="17"/>
      <c r="AB1084" s="33"/>
      <c r="AC1084" s="33"/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0"/>
      <c r="AR1084" s="21"/>
      <c r="AS1084" s="21"/>
      <c r="AT1084" s="228"/>
      <c r="AU1084" s="228"/>
      <c r="AV1084" s="228"/>
      <c r="AW1084" s="228"/>
    </row>
    <row r="1085" spans="1:49" s="36" customFormat="1" ht="15.75" customHeight="1" x14ac:dyDescent="0.25">
      <c r="A1085" s="21" t="s">
        <v>5367</v>
      </c>
      <c r="B1085" s="21" t="s">
        <v>5368</v>
      </c>
      <c r="C1085" s="192">
        <v>2</v>
      </c>
      <c r="D1085" s="1" t="s">
        <v>5370</v>
      </c>
      <c r="E1085" s="192">
        <v>4731</v>
      </c>
      <c r="F1085" s="192">
        <v>31</v>
      </c>
      <c r="G1085" s="1">
        <v>79.900000000000006</v>
      </c>
      <c r="H1085" s="34">
        <f>Tabela1[[#This Row],[PESO UNI]]*Tabela1[[#This Row],[QTE]]</f>
        <v>159.80000000000001</v>
      </c>
      <c r="I1085" s="7" t="s">
        <v>5583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0</v>
      </c>
      <c r="S1085" s="18">
        <f t="shared" si="222"/>
        <v>0</v>
      </c>
      <c r="T1085" s="19">
        <f t="shared" si="223"/>
        <v>-159.80000000000001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159.80000000000001</v>
      </c>
      <c r="AA1085" s="17"/>
      <c r="AB1085" s="33"/>
      <c r="AC1085" s="33"/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0"/>
      <c r="AR1085" s="21"/>
      <c r="AS1085" s="21"/>
      <c r="AT1085" s="228"/>
      <c r="AU1085" s="228"/>
      <c r="AV1085" s="228"/>
      <c r="AW1085" s="228"/>
    </row>
    <row r="1086" spans="1:49" s="36" customFormat="1" ht="15.75" customHeight="1" x14ac:dyDescent="0.25">
      <c r="A1086" s="21" t="s">
        <v>5367</v>
      </c>
      <c r="B1086" s="21" t="s">
        <v>5368</v>
      </c>
      <c r="C1086" s="192">
        <v>4</v>
      </c>
      <c r="D1086" s="1" t="s">
        <v>5371</v>
      </c>
      <c r="E1086" s="192">
        <v>4732</v>
      </c>
      <c r="F1086" s="192">
        <v>31</v>
      </c>
      <c r="G1086" s="1">
        <v>240.9</v>
      </c>
      <c r="H1086" s="34">
        <f>Tabela1[[#This Row],[PESO UNI]]*Tabela1[[#This Row],[QTE]]</f>
        <v>963.6</v>
      </c>
      <c r="I1086" s="7" t="s">
        <v>5583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-4</v>
      </c>
      <c r="R1086" s="18">
        <f t="shared" si="221"/>
        <v>0</v>
      </c>
      <c r="S1086" s="18">
        <f t="shared" si="222"/>
        <v>0</v>
      </c>
      <c r="T1086" s="19">
        <f t="shared" si="223"/>
        <v>-963.6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-4</v>
      </c>
      <c r="Z1086" s="20">
        <f>Tabela1[[#This Row],[PESO TOTAL]]-Tabela1[[#This Row],[Peso Expedido]]</f>
        <v>963.6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0"/>
      <c r="AR1086" s="21"/>
      <c r="AS1086" s="21"/>
      <c r="AT1086" s="228"/>
      <c r="AU1086" s="228"/>
      <c r="AV1086" s="228"/>
      <c r="AW1086" s="228"/>
    </row>
    <row r="1087" spans="1:49" s="36" customFormat="1" ht="15.75" customHeight="1" x14ac:dyDescent="0.25">
      <c r="A1087" s="21" t="s">
        <v>5367</v>
      </c>
      <c r="B1087" s="21" t="s">
        <v>5368</v>
      </c>
      <c r="C1087" s="192">
        <v>2</v>
      </c>
      <c r="D1087" s="1" t="s">
        <v>5372</v>
      </c>
      <c r="E1087" s="192">
        <v>4733</v>
      </c>
      <c r="F1087" s="192">
        <v>31</v>
      </c>
      <c r="G1087" s="1">
        <v>90.5</v>
      </c>
      <c r="H1087" s="34">
        <f>Tabela1[[#This Row],[PESO UNI]]*Tabela1[[#This Row],[QTE]]</f>
        <v>181</v>
      </c>
      <c r="I1087" s="7" t="s">
        <v>5583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-181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181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0"/>
      <c r="AR1087" s="21"/>
      <c r="AS1087" s="21"/>
      <c r="AT1087" s="228"/>
      <c r="AU1087" s="228"/>
      <c r="AV1087" s="228"/>
      <c r="AW1087" s="228"/>
    </row>
    <row r="1088" spans="1:49" s="36" customFormat="1" ht="15.75" customHeight="1" x14ac:dyDescent="0.25">
      <c r="A1088" s="21" t="s">
        <v>5373</v>
      </c>
      <c r="B1088" s="21" t="s">
        <v>5374</v>
      </c>
      <c r="C1088" s="192">
        <v>4</v>
      </c>
      <c r="D1088" s="1" t="s">
        <v>5375</v>
      </c>
      <c r="E1088" s="227">
        <v>4734</v>
      </c>
      <c r="F1088" s="192">
        <v>31</v>
      </c>
      <c r="G1088" s="1">
        <v>102.4</v>
      </c>
      <c r="H1088" s="34">
        <f>Tabela1[[#This Row],[PESO UNI]]*Tabela1[[#This Row],[QTE]]</f>
        <v>409.6</v>
      </c>
      <c r="I1088" s="7" t="s">
        <v>5583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-409.6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409.6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0"/>
      <c r="AR1088" s="228"/>
      <c r="AS1088" s="228"/>
      <c r="AT1088" s="228"/>
      <c r="AU1088" s="228"/>
      <c r="AV1088" s="228"/>
      <c r="AW1088" s="228"/>
    </row>
    <row r="1089" spans="1:49" s="36" customFormat="1" ht="15.75" customHeight="1" x14ac:dyDescent="0.25">
      <c r="A1089" s="21" t="s">
        <v>5373</v>
      </c>
      <c r="B1089" s="21" t="s">
        <v>5374</v>
      </c>
      <c r="C1089" s="192">
        <v>2</v>
      </c>
      <c r="D1089" s="1" t="s">
        <v>5376</v>
      </c>
      <c r="E1089" s="192">
        <v>4735</v>
      </c>
      <c r="F1089" s="192">
        <v>31</v>
      </c>
      <c r="G1089" s="1">
        <v>92.4</v>
      </c>
      <c r="H1089" s="34">
        <f>Tabela1[[#This Row],[PESO UNI]]*Tabela1[[#This Row],[QTE]]</f>
        <v>184.8</v>
      </c>
      <c r="I1089" s="7" t="s">
        <v>5583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-184.8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184.8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0"/>
      <c r="AR1089" s="228"/>
      <c r="AS1089" s="228"/>
      <c r="AT1089" s="228"/>
      <c r="AU1089" s="228"/>
      <c r="AV1089" s="228"/>
      <c r="AW1089" s="228"/>
    </row>
    <row r="1090" spans="1:49" s="36" customFormat="1" ht="15.75" customHeight="1" x14ac:dyDescent="0.25">
      <c r="A1090" s="21" t="s">
        <v>5373</v>
      </c>
      <c r="B1090" s="21" t="s">
        <v>5374</v>
      </c>
      <c r="C1090" s="192">
        <v>2</v>
      </c>
      <c r="D1090" s="1" t="s">
        <v>5377</v>
      </c>
      <c r="E1090" s="192">
        <v>4736</v>
      </c>
      <c r="F1090" s="192">
        <v>31</v>
      </c>
      <c r="G1090" s="1">
        <v>49.4</v>
      </c>
      <c r="H1090" s="34">
        <f>Tabela1[[#This Row],[PESO UNI]]*Tabela1[[#This Row],[QTE]]</f>
        <v>98.8</v>
      </c>
      <c r="I1090" s="7" t="s">
        <v>5583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0</v>
      </c>
      <c r="S1090" s="18">
        <f t="shared" si="222"/>
        <v>0</v>
      </c>
      <c r="T1090" s="19">
        <f t="shared" si="223"/>
        <v>-98.8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98.8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0"/>
      <c r="AR1090" s="228"/>
      <c r="AS1090" s="228"/>
      <c r="AT1090" s="228"/>
      <c r="AU1090" s="228"/>
      <c r="AV1090" s="228"/>
      <c r="AW1090" s="228"/>
    </row>
    <row r="1091" spans="1:49" s="36" customFormat="1" ht="15.75" customHeight="1" x14ac:dyDescent="0.25">
      <c r="A1091" s="21" t="s">
        <v>5373</v>
      </c>
      <c r="B1091" s="21" t="s">
        <v>5374</v>
      </c>
      <c r="C1091" s="192">
        <v>1</v>
      </c>
      <c r="D1091" s="1" t="s">
        <v>5378</v>
      </c>
      <c r="E1091" s="192">
        <v>4737</v>
      </c>
      <c r="F1091" s="192">
        <v>31</v>
      </c>
      <c r="G1091" s="1">
        <v>57.6</v>
      </c>
      <c r="H1091" s="34">
        <f>Tabela1[[#This Row],[PESO UNI]]*Tabela1[[#This Row],[QTE]]</f>
        <v>57.6</v>
      </c>
      <c r="I1091" s="7" t="s">
        <v>5583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-1</v>
      </c>
      <c r="R1091" s="18">
        <f t="shared" si="221"/>
        <v>0</v>
      </c>
      <c r="S1091" s="18">
        <f t="shared" si="222"/>
        <v>0</v>
      </c>
      <c r="T1091" s="19">
        <f t="shared" si="223"/>
        <v>-57.6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-1</v>
      </c>
      <c r="Z1091" s="20">
        <f>Tabela1[[#This Row],[PESO TOTAL]]-Tabela1[[#This Row],[Peso Expedido]]</f>
        <v>57.6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0"/>
      <c r="AR1091" s="228"/>
      <c r="AS1091" s="228"/>
      <c r="AT1091" s="228"/>
      <c r="AU1091" s="228"/>
      <c r="AV1091" s="228"/>
      <c r="AW1091" s="228"/>
    </row>
    <row r="1092" spans="1:49" s="36" customFormat="1" ht="15.75" customHeight="1" x14ac:dyDescent="0.25">
      <c r="A1092" s="21" t="s">
        <v>5373</v>
      </c>
      <c r="B1092" s="21" t="s">
        <v>5374</v>
      </c>
      <c r="C1092" s="192">
        <v>1</v>
      </c>
      <c r="D1092" s="1" t="s">
        <v>5379</v>
      </c>
      <c r="E1092" s="192">
        <v>4738</v>
      </c>
      <c r="F1092" s="192">
        <v>31</v>
      </c>
      <c r="G1092" s="1">
        <v>57.6</v>
      </c>
      <c r="H1092" s="34">
        <f>Tabela1[[#This Row],[PESO UNI]]*Tabela1[[#This Row],[QTE]]</f>
        <v>57.6</v>
      </c>
      <c r="I1092" s="7" t="s">
        <v>5583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-1</v>
      </c>
      <c r="R1092" s="18">
        <f t="shared" si="221"/>
        <v>0</v>
      </c>
      <c r="S1092" s="18">
        <f t="shared" si="222"/>
        <v>0</v>
      </c>
      <c r="T1092" s="19">
        <f t="shared" si="223"/>
        <v>-57.6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-1</v>
      </c>
      <c r="Z1092" s="20">
        <f>Tabela1[[#This Row],[PESO TOTAL]]-Tabela1[[#This Row],[Peso Expedido]]</f>
        <v>57.6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0"/>
      <c r="AR1092" s="228"/>
      <c r="AS1092" s="228"/>
      <c r="AT1092" s="228"/>
      <c r="AU1092" s="228"/>
      <c r="AV1092" s="228"/>
      <c r="AW1092" s="228"/>
    </row>
    <row r="1093" spans="1:49" s="36" customFormat="1" ht="15.75" customHeight="1" x14ac:dyDescent="0.25">
      <c r="A1093" s="21" t="s">
        <v>5373</v>
      </c>
      <c r="B1093" s="21" t="s">
        <v>5374</v>
      </c>
      <c r="C1093" s="192">
        <v>1</v>
      </c>
      <c r="D1093" s="1" t="s">
        <v>5380</v>
      </c>
      <c r="E1093" s="192">
        <v>4739</v>
      </c>
      <c r="F1093" s="192">
        <v>31</v>
      </c>
      <c r="G1093" s="1">
        <v>79.5</v>
      </c>
      <c r="H1093" s="34">
        <f>Tabela1[[#This Row],[PESO UNI]]*Tabela1[[#This Row],[QTE]]</f>
        <v>79.5</v>
      </c>
      <c r="I1093" s="7" t="s">
        <v>5583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-79.5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79.5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0"/>
      <c r="AR1093" s="228"/>
      <c r="AS1093" s="228"/>
      <c r="AT1093" s="228"/>
      <c r="AU1093" s="228"/>
      <c r="AV1093" s="228"/>
      <c r="AW1093" s="228"/>
    </row>
    <row r="1094" spans="1:49" s="36" customFormat="1" ht="15.75" customHeight="1" x14ac:dyDescent="0.25">
      <c r="A1094" s="21" t="s">
        <v>5373</v>
      </c>
      <c r="B1094" s="21" t="s">
        <v>5374</v>
      </c>
      <c r="C1094" s="192">
        <v>2</v>
      </c>
      <c r="D1094" s="1" t="s">
        <v>5381</v>
      </c>
      <c r="E1094" s="192">
        <v>4740</v>
      </c>
      <c r="F1094" s="192">
        <v>31</v>
      </c>
      <c r="G1094" s="1">
        <v>68.400000000000006</v>
      </c>
      <c r="H1094" s="34">
        <f>Tabela1[[#This Row],[PESO UNI]]*Tabela1[[#This Row],[QTE]]</f>
        <v>136.80000000000001</v>
      </c>
      <c r="I1094" s="7" t="s">
        <v>5583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-2</v>
      </c>
      <c r="R1094" s="18">
        <f t="shared" si="221"/>
        <v>0</v>
      </c>
      <c r="S1094" s="18">
        <f t="shared" si="222"/>
        <v>0</v>
      </c>
      <c r="T1094" s="19">
        <f t="shared" si="223"/>
        <v>-136.80000000000001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-2</v>
      </c>
      <c r="Z1094" s="20">
        <f>Tabela1[[#This Row],[PESO TOTAL]]-Tabela1[[#This Row],[Peso Expedido]]</f>
        <v>136.80000000000001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0"/>
      <c r="AR1094" s="228"/>
      <c r="AS1094" s="228"/>
      <c r="AT1094" s="228"/>
      <c r="AU1094" s="228"/>
      <c r="AV1094" s="228"/>
      <c r="AW1094" s="228"/>
    </row>
    <row r="1095" spans="1:49" s="36" customFormat="1" ht="15.75" customHeight="1" x14ac:dyDescent="0.25">
      <c r="A1095" s="21" t="s">
        <v>5373</v>
      </c>
      <c r="B1095" s="21" t="s">
        <v>5374</v>
      </c>
      <c r="C1095" s="192">
        <v>2</v>
      </c>
      <c r="D1095" s="1" t="s">
        <v>5382</v>
      </c>
      <c r="E1095" s="192">
        <v>4741</v>
      </c>
      <c r="F1095" s="192">
        <v>31</v>
      </c>
      <c r="G1095" s="1">
        <v>52.7</v>
      </c>
      <c r="H1095" s="34">
        <f>Tabela1[[#This Row],[PESO UNI]]*Tabela1[[#This Row],[QTE]]</f>
        <v>105.4</v>
      </c>
      <c r="I1095" s="7" t="s">
        <v>5583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-2</v>
      </c>
      <c r="R1095" s="18">
        <f t="shared" si="221"/>
        <v>0</v>
      </c>
      <c r="S1095" s="18">
        <f t="shared" si="222"/>
        <v>0</v>
      </c>
      <c r="T1095" s="19">
        <f t="shared" si="223"/>
        <v>-105.4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-2</v>
      </c>
      <c r="Z1095" s="20">
        <f>Tabela1[[#This Row],[PESO TOTAL]]-Tabela1[[#This Row],[Peso Expedido]]</f>
        <v>105.4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0"/>
      <c r="AR1095" s="228"/>
      <c r="AS1095" s="228"/>
      <c r="AT1095" s="228"/>
      <c r="AU1095" s="228"/>
      <c r="AV1095" s="228"/>
      <c r="AW1095" s="228"/>
    </row>
    <row r="1096" spans="1:49" s="36" customFormat="1" ht="15.75" customHeight="1" x14ac:dyDescent="0.25">
      <c r="A1096" s="21" t="s">
        <v>137</v>
      </c>
      <c r="B1096" s="21"/>
      <c r="C1096" s="192">
        <v>30</v>
      </c>
      <c r="D1096" s="1" t="s">
        <v>5384</v>
      </c>
      <c r="E1096" s="192">
        <v>4742</v>
      </c>
      <c r="F1096" s="192">
        <v>1</v>
      </c>
      <c r="G1096" s="1">
        <v>4.0999999999999996</v>
      </c>
      <c r="H1096" s="34">
        <f>Tabela1[[#This Row],[PESO UNI]]*Tabela1[[#This Row],[QTE]]</f>
        <v>122.99999999999999</v>
      </c>
      <c r="I1096" s="7">
        <v>0</v>
      </c>
      <c r="J1096" s="8" t="s">
        <v>5385</v>
      </c>
      <c r="K1096" s="8" t="s">
        <v>23</v>
      </c>
      <c r="L1096" s="9" t="s">
        <v>5386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-30</v>
      </c>
      <c r="R1096" s="18">
        <f>IFERROR(H1096*((AA1096*0.25)+(AC1096*0.25)+(AD1096*0.225)+(AE1096*0.225)+(AF1096*0.05)),"")</f>
        <v>0</v>
      </c>
      <c r="S1096" s="18">
        <f>IFERROR(H1096*AG1096,"")</f>
        <v>0</v>
      </c>
      <c r="T1096" s="19">
        <f>IFERROR(S1096-H1096,"")</f>
        <v>-122.99999999999999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>U1096-C1096</f>
        <v>-30</v>
      </c>
      <c r="Z1096" s="20">
        <f>Tabela1[[#This Row],[PESO TOTAL]]-Tabela1[[#This Row],[Peso Expedido]]</f>
        <v>122.99999999999999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0"/>
      <c r="AR1096" s="228"/>
      <c r="AS1096" s="228"/>
      <c r="AT1096" s="228"/>
      <c r="AU1096" s="228"/>
      <c r="AV1096" s="228"/>
      <c r="AW1096" s="228"/>
    </row>
    <row r="1097" spans="1:49" ht="15.75" customHeight="1" x14ac:dyDescent="0.25">
      <c r="A1097" s="1" t="s">
        <v>5403</v>
      </c>
      <c r="B1097" s="21" t="s">
        <v>5404</v>
      </c>
      <c r="C1097" s="1">
        <v>1</v>
      </c>
      <c r="D1097" s="1" t="s">
        <v>5405</v>
      </c>
      <c r="E1097" s="7">
        <v>4743</v>
      </c>
      <c r="F1097" s="7">
        <v>64</v>
      </c>
      <c r="G1097" s="1">
        <v>35.1</v>
      </c>
      <c r="H1097" s="34">
        <f>Tabela1[[#This Row],[PESO UNI]]*Tabela1[[#This Row],[QTE]]</f>
        <v>35.1</v>
      </c>
      <c r="I1097" s="7" t="s">
        <v>5645</v>
      </c>
      <c r="J1097" s="8" t="s">
        <v>3093</v>
      </c>
      <c r="K1097" s="8" t="s">
        <v>4320</v>
      </c>
      <c r="L1097" s="9" t="s">
        <v>2984</v>
      </c>
      <c r="M1097" s="10">
        <v>46260</v>
      </c>
      <c r="N1097" s="8" t="s">
        <v>5105</v>
      </c>
      <c r="O1097" s="12"/>
      <c r="P1097" s="13"/>
      <c r="Q1097" s="14">
        <f>Tabela1[[#This Row],[QTDE/ Fabricação]]-Tabela1[[#This Row],[QTE]]</f>
        <v>-1</v>
      </c>
      <c r="R1097" s="18">
        <f t="shared" ref="R1097" si="225">IFERROR(H1097*((AA1097*0.25)+(AC1097*0.25)+(AD1097*0.225)+(AE1097*0.225)+(AF1097*0.05)),"")</f>
        <v>29.308499999999999</v>
      </c>
      <c r="S1097" s="18">
        <f t="shared" ref="S1097" si="226">IFERROR(H1097*AG1097,"")</f>
        <v>12.285</v>
      </c>
      <c r="T1097" s="19">
        <f t="shared" ref="T1097" si="227">IFERROR(S1097-H1097,"")</f>
        <v>-22.815000000000001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ref="Y1097" si="228">U1097-C1097</f>
        <v>-1</v>
      </c>
      <c r="Z1097" s="20">
        <f>Tabela1[[#This Row],[PESO TOTAL]]-Tabela1[[#This Row],[Peso Expedido]]</f>
        <v>35.1</v>
      </c>
      <c r="AA1097" s="17">
        <v>1</v>
      </c>
      <c r="AB1097" s="33"/>
      <c r="AC1097" s="33">
        <v>1</v>
      </c>
      <c r="AD1097" s="33">
        <v>0.7</v>
      </c>
      <c r="AE1097" s="33">
        <v>0.7</v>
      </c>
      <c r="AF1097" s="33">
        <v>0.4</v>
      </c>
      <c r="AG1097" s="33">
        <v>0.35</v>
      </c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customHeight="1" x14ac:dyDescent="0.25">
      <c r="A1098" s="1" t="s">
        <v>5403</v>
      </c>
      <c r="B1098" s="21" t="s">
        <v>5404</v>
      </c>
      <c r="C1098" s="1">
        <v>1</v>
      </c>
      <c r="D1098" s="1" t="s">
        <v>5406</v>
      </c>
      <c r="E1098" s="7">
        <v>4744</v>
      </c>
      <c r="F1098" s="7">
        <v>64</v>
      </c>
      <c r="G1098" s="1">
        <v>36.6</v>
      </c>
      <c r="H1098" s="34">
        <f>Tabela1[[#This Row],[PESO UNI]]*Tabela1[[#This Row],[QTE]]</f>
        <v>36.6</v>
      </c>
      <c r="I1098" s="7" t="s">
        <v>5645</v>
      </c>
      <c r="J1098" s="8" t="s">
        <v>3093</v>
      </c>
      <c r="K1098" s="8" t="s">
        <v>4320</v>
      </c>
      <c r="L1098" s="9" t="s">
        <v>2984</v>
      </c>
      <c r="M1098" s="10">
        <v>46260</v>
      </c>
      <c r="N1098" s="8" t="s">
        <v>5105</v>
      </c>
      <c r="O1098" s="12"/>
      <c r="P1098" s="13"/>
      <c r="Q1098" s="14">
        <f>Tabela1[[#This Row],[QTDE/ Fabricação]]-Tabela1[[#This Row],[QTE]]</f>
        <v>-1</v>
      </c>
      <c r="R1098" s="18">
        <f t="shared" ref="R1098" si="229">IFERROR(H1098*((AA1098*0.25)+(AC1098*0.25)+(AD1098*0.225)+(AE1098*0.225)+(AF1098*0.05)),"")</f>
        <v>30.561</v>
      </c>
      <c r="S1098" s="18">
        <f t="shared" ref="S1098" si="230">IFERROR(H1098*AG1098,"")</f>
        <v>12.81</v>
      </c>
      <c r="T1098" s="19">
        <f t="shared" ref="T1098" si="231">IFERROR(S1098-H1098,"")</f>
        <v>-23.79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ref="Y1098" si="232">U1098-C1098</f>
        <v>-1</v>
      </c>
      <c r="Z1098" s="20">
        <f>Tabela1[[#This Row],[PESO TOTAL]]-Tabela1[[#This Row],[Peso Expedido]]</f>
        <v>36.6</v>
      </c>
      <c r="AA1098" s="17">
        <v>1</v>
      </c>
      <c r="AB1098" s="33"/>
      <c r="AC1098" s="33">
        <v>1</v>
      </c>
      <c r="AD1098" s="33">
        <v>0.7</v>
      </c>
      <c r="AE1098" s="33">
        <v>0.7</v>
      </c>
      <c r="AF1098" s="33">
        <v>0.4</v>
      </c>
      <c r="AG1098" s="33">
        <v>0.35</v>
      </c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customHeight="1" x14ac:dyDescent="0.25">
      <c r="A1099" s="1" t="s">
        <v>5403</v>
      </c>
      <c r="B1099" s="21" t="s">
        <v>5404</v>
      </c>
      <c r="C1099" s="1">
        <v>1</v>
      </c>
      <c r="D1099" s="1" t="s">
        <v>5407</v>
      </c>
      <c r="E1099" s="7">
        <v>4745</v>
      </c>
      <c r="F1099" s="7">
        <v>64</v>
      </c>
      <c r="G1099" s="1">
        <v>54.3</v>
      </c>
      <c r="H1099" s="34">
        <f>Tabela1[[#This Row],[PESO UNI]]*Tabela1[[#This Row],[QTE]]</f>
        <v>54.3</v>
      </c>
      <c r="I1099" s="7" t="s">
        <v>5645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>Tabela1[[#This Row],[QTDE/ Fabricação]]-Tabela1[[#This Row],[QTE]]</f>
        <v>-1</v>
      </c>
      <c r="R1099" s="18">
        <f t="shared" ref="R1099" si="233">IFERROR(H1099*((AA1099*0.25)+(AC1099*0.25)+(AD1099*0.225)+(AE1099*0.225)+(AF1099*0.05)),"")</f>
        <v>45.340499999999999</v>
      </c>
      <c r="S1099" s="18">
        <f t="shared" ref="S1099" si="234">IFERROR(H1099*AG1099,"")</f>
        <v>19.004999999999999</v>
      </c>
      <c r="T1099" s="19">
        <f t="shared" ref="T1099" si="235">IFERROR(S1099-H1099,"")</f>
        <v>-35.295000000000002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236">U1099-C1099</f>
        <v>-1</v>
      </c>
      <c r="Z1099" s="20">
        <f>Tabela1[[#This Row],[PESO TOTAL]]-Tabela1[[#This Row],[Peso Expedido]]</f>
        <v>54.3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1" t="s">
        <v>5403</v>
      </c>
      <c r="B1100" s="21" t="s">
        <v>5404</v>
      </c>
      <c r="C1100" s="1">
        <v>1</v>
      </c>
      <c r="D1100" s="1" t="s">
        <v>5408</v>
      </c>
      <c r="E1100" s="7">
        <v>4746</v>
      </c>
      <c r="F1100" s="7">
        <v>64</v>
      </c>
      <c r="G1100" s="1">
        <v>36.6</v>
      </c>
      <c r="H1100" s="34">
        <f>Tabela1[[#This Row],[PESO UNI]]*Tabela1[[#This Row],[QTE]]</f>
        <v>36.6</v>
      </c>
      <c r="I1100" s="7" t="s">
        <v>5645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>Tabela1[[#This Row],[QTDE/ Fabricação]]-Tabela1[[#This Row],[QTE]]</f>
        <v>-1</v>
      </c>
      <c r="R1100" s="18">
        <f t="shared" ref="R1100" si="237">IFERROR(H1100*((AA1100*0.25)+(AC1100*0.25)+(AD1100*0.225)+(AE1100*0.225)+(AF1100*0.05)),"")</f>
        <v>30.561</v>
      </c>
      <c r="S1100" s="18">
        <f t="shared" ref="S1100" si="238">IFERROR(H1100*AG1100,"")</f>
        <v>12.81</v>
      </c>
      <c r="T1100" s="19">
        <f t="shared" ref="T1100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240">U1100-C1100</f>
        <v>-1</v>
      </c>
      <c r="Z1100" s="20">
        <f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1" t="s">
        <v>5403</v>
      </c>
      <c r="B1101" s="21" t="s">
        <v>5404</v>
      </c>
      <c r="C1101" s="1">
        <v>1</v>
      </c>
      <c r="D1101" s="1" t="s">
        <v>5409</v>
      </c>
      <c r="E1101" s="7">
        <v>4747</v>
      </c>
      <c r="F1101" s="7">
        <v>64</v>
      </c>
      <c r="G1101" s="1">
        <v>54.3</v>
      </c>
      <c r="H1101" s="34">
        <f>Tabela1[[#This Row],[PESO UNI]]*Tabela1[[#This Row],[QTE]]</f>
        <v>54.3</v>
      </c>
      <c r="I1101" s="7" t="s">
        <v>5645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>Tabela1[[#This Row],[QTDE/ Fabricação]]-Tabela1[[#This Row],[QTE]]</f>
        <v>-1</v>
      </c>
      <c r="R1101" s="18">
        <f t="shared" ref="R1101" si="241">IFERROR(H1101*((AA1101*0.25)+(AC1101*0.25)+(AD1101*0.225)+(AE1101*0.225)+(AF1101*0.05)),"")</f>
        <v>45.340499999999999</v>
      </c>
      <c r="S1101" s="18">
        <f t="shared" ref="S1101" si="242">IFERROR(H1101*AG1101,"")</f>
        <v>19.004999999999999</v>
      </c>
      <c r="T1101" s="19">
        <f t="shared" ref="T110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244">U1101-C1101</f>
        <v>-1</v>
      </c>
      <c r="Z1101" s="20">
        <f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1" t="s">
        <v>5403</v>
      </c>
      <c r="B1102" s="21" t="s">
        <v>5404</v>
      </c>
      <c r="C1102" s="1">
        <v>1</v>
      </c>
      <c r="D1102" s="1" t="s">
        <v>5618</v>
      </c>
      <c r="E1102" s="7">
        <v>4826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 t="s">
        <v>5645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 t="shared" ref="R1102:R1109" si="245">IFERROR(H1102*((AA1102*0.25)+(AC1102*0.25)+(AD1102*0.225)+(AE1102*0.225)+(AF1102*0.05)),"")</f>
        <v>30.561</v>
      </c>
      <c r="S1102" s="18">
        <f t="shared" ref="S1102:S1109" si="246">IFERROR(H1102*AG1102,"")</f>
        <v>12.81</v>
      </c>
      <c r="T1102" s="19">
        <f t="shared" ref="T1102:T1109" si="247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:Y1109" si="248">U1102-C1102</f>
        <v>-1</v>
      </c>
      <c r="Z1102" s="20">
        <f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1" t="s">
        <v>5403</v>
      </c>
      <c r="B1103" s="21" t="s">
        <v>5404</v>
      </c>
      <c r="C1103" s="1">
        <v>1</v>
      </c>
      <c r="D1103" s="1" t="s">
        <v>5619</v>
      </c>
      <c r="E1103" s="7">
        <v>4827</v>
      </c>
      <c r="F1103" s="7">
        <v>64</v>
      </c>
      <c r="G1103" s="1">
        <v>54.3</v>
      </c>
      <c r="H1103" s="34">
        <f>Tabela1[[#This Row],[PESO UNI]]*Tabela1[[#This Row],[QTE]]</f>
        <v>54.3</v>
      </c>
      <c r="I1103" s="7" t="s">
        <v>5645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t="shared" si="245"/>
        <v>45.340499999999999</v>
      </c>
      <c r="S1103" s="18">
        <f t="shared" si="246"/>
        <v>19.004999999999999</v>
      </c>
      <c r="T1103" s="19">
        <f t="shared" si="247"/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si="248"/>
        <v>-1</v>
      </c>
      <c r="Z1103" s="20">
        <f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1" t="s">
        <v>5403</v>
      </c>
      <c r="B1104" s="21" t="s">
        <v>5404</v>
      </c>
      <c r="C1104" s="1">
        <v>1</v>
      </c>
      <c r="D1104" s="1" t="s">
        <v>5620</v>
      </c>
      <c r="E1104" s="7">
        <v>4828</v>
      </c>
      <c r="F1104" s="7">
        <v>64</v>
      </c>
      <c r="G1104" s="1">
        <v>54.3</v>
      </c>
      <c r="H1104" s="34">
        <f>Tabela1[[#This Row],[PESO UNI]]*Tabela1[[#This Row],[QTE]]</f>
        <v>54.3</v>
      </c>
      <c r="I1104" s="7" t="s">
        <v>5645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t="shared" si="245"/>
        <v>45.340499999999999</v>
      </c>
      <c r="S1104" s="18">
        <f t="shared" si="246"/>
        <v>19.004999999999999</v>
      </c>
      <c r="T1104" s="19">
        <f t="shared" si="247"/>
        <v>-35.295000000000002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si="248"/>
        <v>-1</v>
      </c>
      <c r="Z1104" s="20">
        <f>Tabela1[[#This Row],[PESO TOTAL]]-Tabela1[[#This Row],[Peso Expedido]]</f>
        <v>54.3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1" t="s">
        <v>5403</v>
      </c>
      <c r="B1105" s="21" t="s">
        <v>5404</v>
      </c>
      <c r="C1105" s="1">
        <v>1</v>
      </c>
      <c r="D1105" s="1" t="s">
        <v>5621</v>
      </c>
      <c r="E1105" s="7">
        <v>4839</v>
      </c>
      <c r="F1105" s="7">
        <v>64</v>
      </c>
      <c r="G1105" s="1">
        <v>53.6</v>
      </c>
      <c r="H1105" s="34">
        <f>Tabela1[[#This Row],[PESO UNI]]*Tabela1[[#This Row],[QTE]]</f>
        <v>53.6</v>
      </c>
      <c r="I1105" s="7" t="s">
        <v>5645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45"/>
        <v>44.756</v>
      </c>
      <c r="S1105" s="18">
        <f t="shared" si="246"/>
        <v>18.759999999999998</v>
      </c>
      <c r="T1105" s="19">
        <f t="shared" si="247"/>
        <v>-34.840000000000003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48"/>
        <v>-1</v>
      </c>
      <c r="Z1105" s="20">
        <f>Tabela1[[#This Row],[PESO TOTAL]]-Tabela1[[#This Row],[Peso Expedido]]</f>
        <v>53.6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5403</v>
      </c>
      <c r="B1106" s="21" t="s">
        <v>5404</v>
      </c>
      <c r="C1106" s="1">
        <v>1</v>
      </c>
      <c r="D1106" s="1" t="s">
        <v>5622</v>
      </c>
      <c r="E1106" s="7">
        <v>4840</v>
      </c>
      <c r="F1106" s="7">
        <v>64</v>
      </c>
      <c r="G1106" s="1">
        <v>43.9</v>
      </c>
      <c r="H1106" s="34">
        <f>Tabela1[[#This Row],[PESO UNI]]*Tabela1[[#This Row],[QTE]]</f>
        <v>43.9</v>
      </c>
      <c r="I1106" s="7" t="s">
        <v>5645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36.656499999999994</v>
      </c>
      <c r="S1106" s="18">
        <f t="shared" si="246"/>
        <v>15.364999999999998</v>
      </c>
      <c r="T1106" s="19">
        <f t="shared" si="247"/>
        <v>-28.535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43.9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1" t="s">
        <v>5403</v>
      </c>
      <c r="B1107" s="21" t="s">
        <v>5404</v>
      </c>
      <c r="C1107" s="1">
        <v>1</v>
      </c>
      <c r="D1107" s="1" t="s">
        <v>5623</v>
      </c>
      <c r="E1107" s="7">
        <v>4841</v>
      </c>
      <c r="F1107" s="7">
        <v>64</v>
      </c>
      <c r="G1107" s="1">
        <v>43.4</v>
      </c>
      <c r="H1107" s="34">
        <f>Tabela1[[#This Row],[PESO UNI]]*Tabela1[[#This Row],[QTE]]</f>
        <v>43.4</v>
      </c>
      <c r="I1107" s="7" t="s">
        <v>5645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45"/>
        <v>36.238999999999997</v>
      </c>
      <c r="S1107" s="18">
        <f t="shared" si="246"/>
        <v>15.189999999999998</v>
      </c>
      <c r="T1107" s="19">
        <f t="shared" si="247"/>
        <v>-28.21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48"/>
        <v>-1</v>
      </c>
      <c r="Z1107" s="20">
        <f>Tabela1[[#This Row],[PESO TOTAL]]-Tabela1[[#This Row],[Peso Expedido]]</f>
        <v>43.4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5403</v>
      </c>
      <c r="B1108" s="21" t="s">
        <v>5404</v>
      </c>
      <c r="C1108" s="1">
        <v>1</v>
      </c>
      <c r="D1108" s="1" t="s">
        <v>5624</v>
      </c>
      <c r="E1108" s="7">
        <v>4842</v>
      </c>
      <c r="F1108" s="7">
        <v>64</v>
      </c>
      <c r="G1108" s="1">
        <v>43.4</v>
      </c>
      <c r="H1108" s="34">
        <f>Tabela1[[#This Row],[PESO UNI]]*Tabela1[[#This Row],[QTE]]</f>
        <v>43.4</v>
      </c>
      <c r="I1108" s="7" t="s">
        <v>5645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36.238999999999997</v>
      </c>
      <c r="S1108" s="18">
        <f t="shared" si="246"/>
        <v>15.189999999999998</v>
      </c>
      <c r="T1108" s="19">
        <f t="shared" si="247"/>
        <v>-28.21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43.4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1" t="s">
        <v>5403</v>
      </c>
      <c r="B1109" s="21" t="s">
        <v>5404</v>
      </c>
      <c r="C1109" s="1">
        <v>1</v>
      </c>
      <c r="D1109" s="1" t="s">
        <v>5625</v>
      </c>
      <c r="E1109" s="7">
        <v>4843</v>
      </c>
      <c r="F1109" s="7">
        <v>64</v>
      </c>
      <c r="G1109" s="1">
        <v>44.1</v>
      </c>
      <c r="H1109" s="34">
        <f>Tabela1[[#This Row],[PESO UNI]]*Tabela1[[#This Row],[QTE]]</f>
        <v>44.1</v>
      </c>
      <c r="I1109" s="7" t="s">
        <v>5645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t="shared" si="245"/>
        <v>36.823500000000003</v>
      </c>
      <c r="S1109" s="18">
        <f t="shared" si="246"/>
        <v>15.434999999999999</v>
      </c>
      <c r="T1109" s="19">
        <f t="shared" si="247"/>
        <v>-28.665000000000003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si="248"/>
        <v>-1</v>
      </c>
      <c r="Z1109" s="20">
        <f>Tabela1[[#This Row],[PESO TOTAL]]-Tabela1[[#This Row],[Peso Expedido]]</f>
        <v>44.1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1" t="s">
        <v>5495</v>
      </c>
      <c r="B1110" s="21" t="s">
        <v>5496</v>
      </c>
      <c r="C1110" s="1">
        <v>2</v>
      </c>
      <c r="D1110" s="1" t="s">
        <v>5497</v>
      </c>
      <c r="E1110" s="7">
        <v>4751</v>
      </c>
      <c r="F1110" s="7">
        <v>65</v>
      </c>
      <c r="G1110" s="1">
        <v>257.5</v>
      </c>
      <c r="H1110" s="34">
        <f>Tabela1[[#This Row],[PESO UNI]]*Tabela1[[#This Row],[QTE]]</f>
        <v>515</v>
      </c>
      <c r="I1110" s="7" t="s">
        <v>5585</v>
      </c>
      <c r="J1110" s="8" t="s">
        <v>3140</v>
      </c>
      <c r="K1110" s="8" t="s">
        <v>4320</v>
      </c>
      <c r="L1110" s="9" t="s">
        <v>2984</v>
      </c>
      <c r="M1110" s="10">
        <v>46265</v>
      </c>
      <c r="N1110" s="8" t="s">
        <v>5105</v>
      </c>
      <c r="O1110" s="12"/>
      <c r="P1110" s="13"/>
      <c r="Q1110" s="14">
        <f>Tabela1[[#This Row],[QTDE/ Fabricação]]-Tabela1[[#This Row],[QTE]]</f>
        <v>-2</v>
      </c>
      <c r="R1110" s="18">
        <f t="shared" ref="R1110:R1142" si="249">IFERROR(H1110*((AA1110*0.25)+(AC1110*0.25)+(AD1110*0.225)+(AE1110*0.225)+(AF1110*0.05)),"")</f>
        <v>430.02499999999998</v>
      </c>
      <c r="S1110" s="18">
        <f t="shared" ref="S1110:S1142" si="250">IFERROR(H1110*AG1110,"")</f>
        <v>180.25</v>
      </c>
      <c r="T1110" s="19">
        <f t="shared" ref="T1110:T1142" si="251">IFERROR(S1110-H1110,"")</f>
        <v>-334.75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>IFERROR(Tabela1[[#This Row],[QIANTIDADE EXPEDIDA]]*Tabela1[[#This Row],[PESO UNI]],"")</f>
        <v>0</v>
      </c>
      <c r="Y1110" s="14">
        <f t="shared" ref="Y1110:Y1142" si="252">U1110-C1110</f>
        <v>-2</v>
      </c>
      <c r="Z1110" s="20">
        <f>Tabela1[[#This Row],[PESO TOTAL]]-Tabela1[[#This Row],[Peso Expedido]]</f>
        <v>515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1" t="s">
        <v>5495</v>
      </c>
      <c r="B1111" s="21" t="s">
        <v>5496</v>
      </c>
      <c r="C1111" s="1">
        <v>1</v>
      </c>
      <c r="D1111" s="1" t="s">
        <v>5586</v>
      </c>
      <c r="E1111" s="7">
        <v>4799</v>
      </c>
      <c r="F1111" s="7">
        <v>65</v>
      </c>
      <c r="G1111" s="1">
        <v>1167.4000000000001</v>
      </c>
      <c r="H1111" s="34">
        <f>Tabela1[[#This Row],[PESO UNI]]*Tabela1[[#This Row],[QTE]]</f>
        <v>1167.4000000000001</v>
      </c>
      <c r="I1111" s="7" t="s">
        <v>5585</v>
      </c>
      <c r="J1111" s="8" t="s">
        <v>3140</v>
      </c>
      <c r="K1111" s="8" t="s">
        <v>4320</v>
      </c>
      <c r="L1111" s="9" t="s">
        <v>2984</v>
      </c>
      <c r="M1111" s="10">
        <v>46265</v>
      </c>
      <c r="N1111" s="8" t="s">
        <v>5105</v>
      </c>
      <c r="O1111" s="12"/>
      <c r="P1111" s="13"/>
      <c r="Q1111" s="14">
        <f>Tabela1[[#This Row],[QTDE/ Fabricação]]-Tabela1[[#This Row],[QTE]]</f>
        <v>-1</v>
      </c>
      <c r="R1111" s="18">
        <f>IFERROR(H1111*((AA1111*0.25)+(AC1111*0.25)+(AD1111*0.225)+(AE1111*0.225)+(AF1111*0.05)),"")</f>
        <v>974.779</v>
      </c>
      <c r="S1111" s="18">
        <f>IFERROR(H1111*AG1111,"")</f>
        <v>408.59000000000003</v>
      </c>
      <c r="T1111" s="19">
        <f>IFERROR(S1111-H1111,"")</f>
        <v>-758.81000000000006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>IFERROR(Tabela1[[#This Row],[QIANTIDADE EXPEDIDA]]*Tabela1[[#This Row],[PESO UNI]],"")</f>
        <v>0</v>
      </c>
      <c r="Y1111" s="14">
        <f>U1111-C1111</f>
        <v>-1</v>
      </c>
      <c r="Z1111" s="20">
        <f>Tabela1[[#This Row],[PESO TOTAL]]-Tabela1[[#This Row],[Peso Expedido]]</f>
        <v>1167.4000000000001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1" t="s">
        <v>5498</v>
      </c>
      <c r="B1112" s="21" t="s">
        <v>5499</v>
      </c>
      <c r="C1112" s="1">
        <v>1</v>
      </c>
      <c r="D1112" s="1" t="s">
        <v>5502</v>
      </c>
      <c r="E1112" s="7">
        <v>4752</v>
      </c>
      <c r="F1112" s="7">
        <v>65</v>
      </c>
      <c r="G1112" s="1">
        <v>681.8</v>
      </c>
      <c r="H1112" s="34">
        <f>Tabela1[[#This Row],[PESO UNI]]*Tabela1[[#This Row],[QTE]]</f>
        <v>681.8</v>
      </c>
      <c r="I1112" s="7">
        <v>0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-1</v>
      </c>
      <c r="R1112" s="18">
        <f t="shared" si="249"/>
        <v>569.30299999999988</v>
      </c>
      <c r="S1112" s="18">
        <f t="shared" si="250"/>
        <v>238.62999999999997</v>
      </c>
      <c r="T1112" s="19">
        <f t="shared" si="251"/>
        <v>-443.16999999999996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si="252"/>
        <v>-1</v>
      </c>
      <c r="Z1112" s="20">
        <f>Tabela1[[#This Row],[PESO TOTAL]]-Tabela1[[#This Row],[Peso Expedido]]</f>
        <v>681.8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5500</v>
      </c>
      <c r="B1113" s="21" t="s">
        <v>5501</v>
      </c>
      <c r="C1113" s="1">
        <v>1</v>
      </c>
      <c r="D1113" s="1" t="s">
        <v>5503</v>
      </c>
      <c r="E1113" s="7">
        <v>4753</v>
      </c>
      <c r="F1113" s="7">
        <v>65</v>
      </c>
      <c r="G1113" s="1">
        <v>254.6</v>
      </c>
      <c r="H1113" s="34">
        <f>Tabela1[[#This Row],[PESO UNI]]*Tabela1[[#This Row],[QTE]]</f>
        <v>254.6</v>
      </c>
      <c r="I1113" s="7">
        <v>0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 t="shared" si="249"/>
        <v>212.59099999999998</v>
      </c>
      <c r="S1113" s="18">
        <f t="shared" si="250"/>
        <v>89.11</v>
      </c>
      <c r="T1113" s="19">
        <f t="shared" si="251"/>
        <v>-165.49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si="252"/>
        <v>-1</v>
      </c>
      <c r="Z1113" s="20">
        <f>Tabela1[[#This Row],[PESO TOTAL]]-Tabela1[[#This Row],[Peso Expedido]]</f>
        <v>254.6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5500</v>
      </c>
      <c r="B1114" s="21" t="s">
        <v>5501</v>
      </c>
      <c r="C1114" s="1">
        <v>1</v>
      </c>
      <c r="D1114" s="1" t="s">
        <v>5504</v>
      </c>
      <c r="E1114" s="7">
        <v>4754</v>
      </c>
      <c r="F1114" s="7">
        <v>65</v>
      </c>
      <c r="G1114" s="1">
        <v>223</v>
      </c>
      <c r="H1114" s="34">
        <f>Tabela1[[#This Row],[PESO UNI]]*Tabela1[[#This Row],[QTE]]</f>
        <v>223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49"/>
        <v>186.20499999999998</v>
      </c>
      <c r="S1114" s="18">
        <f t="shared" si="250"/>
        <v>78.05</v>
      </c>
      <c r="T1114" s="19">
        <f t="shared" si="251"/>
        <v>-144.94999999999999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52"/>
        <v>-1</v>
      </c>
      <c r="Z1114" s="20">
        <f>Tabela1[[#This Row],[PESO TOTAL]]-Tabela1[[#This Row],[Peso Expedido]]</f>
        <v>223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5510</v>
      </c>
      <c r="B1115" s="21" t="s">
        <v>5505</v>
      </c>
      <c r="C1115" s="1">
        <v>1</v>
      </c>
      <c r="D1115" s="1" t="s">
        <v>5509</v>
      </c>
      <c r="E1115" s="7">
        <v>4755</v>
      </c>
      <c r="F1115" s="7">
        <v>65</v>
      </c>
      <c r="G1115" s="1">
        <v>208.4</v>
      </c>
      <c r="H1115" s="34">
        <f>Tabela1[[#This Row],[PESO UNI]]*Tabela1[[#This Row],[QTE]]</f>
        <v>208.4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174.01400000000001</v>
      </c>
      <c r="S1115" s="18">
        <f t="shared" si="250"/>
        <v>72.94</v>
      </c>
      <c r="T1115" s="19">
        <f t="shared" si="251"/>
        <v>-135.46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208.4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5507</v>
      </c>
      <c r="B1116" s="21" t="s">
        <v>5506</v>
      </c>
      <c r="C1116" s="1">
        <v>1</v>
      </c>
      <c r="D1116" s="1" t="s">
        <v>5508</v>
      </c>
      <c r="E1116" s="7">
        <v>4756</v>
      </c>
      <c r="F1116" s="7">
        <v>65</v>
      </c>
      <c r="G1116" s="1">
        <v>208.9</v>
      </c>
      <c r="H1116" s="34">
        <f>Tabela1[[#This Row],[PESO UNI]]*Tabela1[[#This Row],[QTE]]</f>
        <v>208.9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174.4315</v>
      </c>
      <c r="S1116" s="18">
        <f t="shared" si="250"/>
        <v>73.114999999999995</v>
      </c>
      <c r="T1116" s="19">
        <f t="shared" si="251"/>
        <v>-135.78500000000003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208.9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5511</v>
      </c>
      <c r="B1117" s="21" t="s">
        <v>5512</v>
      </c>
      <c r="C1117" s="1">
        <v>1</v>
      </c>
      <c r="D1117" s="1" t="s">
        <v>5521</v>
      </c>
      <c r="E1117" s="7">
        <v>4757</v>
      </c>
      <c r="F1117" s="7">
        <v>65</v>
      </c>
      <c r="G1117" s="1">
        <v>136.80000000000001</v>
      </c>
      <c r="H1117" s="34">
        <f>Tabela1[[#This Row],[PESO UNI]]*Tabela1[[#This Row],[QTE]]</f>
        <v>136.80000000000001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114.22800000000001</v>
      </c>
      <c r="S1117" s="18">
        <f t="shared" si="250"/>
        <v>47.88</v>
      </c>
      <c r="T1117" s="19">
        <f t="shared" si="251"/>
        <v>-88.920000000000016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136.80000000000001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5511</v>
      </c>
      <c r="B1118" s="21" t="s">
        <v>5512</v>
      </c>
      <c r="C1118" s="1">
        <v>1</v>
      </c>
      <c r="D1118" s="1" t="s">
        <v>5520</v>
      </c>
      <c r="E1118" s="7">
        <v>4758</v>
      </c>
      <c r="F1118" s="7">
        <v>65</v>
      </c>
      <c r="G1118" s="1">
        <v>106.8</v>
      </c>
      <c r="H1118" s="34">
        <f>Tabela1[[#This Row],[PESO UNI]]*Tabela1[[#This Row],[QTE]]</f>
        <v>106.8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89.177999999999997</v>
      </c>
      <c r="S1118" s="18">
        <f t="shared" si="250"/>
        <v>37.379999999999995</v>
      </c>
      <c r="T1118" s="19">
        <f t="shared" si="251"/>
        <v>-69.42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106.8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5513</v>
      </c>
      <c r="B1119" s="21" t="s">
        <v>5514</v>
      </c>
      <c r="C1119" s="1">
        <v>1</v>
      </c>
      <c r="D1119" s="1" t="s">
        <v>5519</v>
      </c>
      <c r="E1119" s="7">
        <v>4759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114.22800000000001</v>
      </c>
      <c r="S1119" s="18">
        <f t="shared" si="250"/>
        <v>47.88</v>
      </c>
      <c r="T1119" s="19">
        <f t="shared" si="251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5513</v>
      </c>
      <c r="B1120" s="21" t="s">
        <v>5514</v>
      </c>
      <c r="C1120" s="1">
        <v>1</v>
      </c>
      <c r="D1120" s="1" t="s">
        <v>5518</v>
      </c>
      <c r="E1120" s="7">
        <v>4760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89.177999999999997</v>
      </c>
      <c r="S1120" s="18">
        <f t="shared" si="250"/>
        <v>37.379999999999995</v>
      </c>
      <c r="T1120" s="19">
        <f t="shared" si="251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5515</v>
      </c>
      <c r="B1121" s="21" t="s">
        <v>5516</v>
      </c>
      <c r="C1121" s="1">
        <v>3</v>
      </c>
      <c r="D1121" s="1" t="s">
        <v>5517</v>
      </c>
      <c r="E1121" s="7">
        <v>4761</v>
      </c>
      <c r="F1121" s="7">
        <v>65</v>
      </c>
      <c r="G1121" s="1">
        <v>64.099999999999994</v>
      </c>
      <c r="H1121" s="34">
        <f>Tabela1[[#This Row],[PESO UNI]]*Tabela1[[#This Row],[QTE]]</f>
        <v>192.29999999999998</v>
      </c>
      <c r="I1121" s="7" t="s">
        <v>5585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-3</v>
      </c>
      <c r="R1121" s="18">
        <f t="shared" si="249"/>
        <v>160.57049999999998</v>
      </c>
      <c r="S1121" s="18">
        <f t="shared" si="250"/>
        <v>67.304999999999993</v>
      </c>
      <c r="T1121" s="19">
        <f t="shared" si="251"/>
        <v>-124.99499999999999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-3</v>
      </c>
      <c r="Z1121" s="20">
        <f>Tabela1[[#This Row],[PESO TOTAL]]-Tabela1[[#This Row],[Peso Expedido]]</f>
        <v>192.29999999999998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5515</v>
      </c>
      <c r="B1122" s="21" t="s">
        <v>5516</v>
      </c>
      <c r="C1122" s="1">
        <v>1</v>
      </c>
      <c r="D1122" s="1" t="s">
        <v>5522</v>
      </c>
      <c r="E1122" s="7">
        <v>4762</v>
      </c>
      <c r="F1122" s="7">
        <v>65</v>
      </c>
      <c r="G1122" s="1">
        <v>83.4</v>
      </c>
      <c r="H1122" s="34">
        <f>Tabela1[[#This Row],[PESO UNI]]*Tabela1[[#This Row],[QTE]]</f>
        <v>83.4</v>
      </c>
      <c r="I1122" s="7" t="s">
        <v>5585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69.638999999999996</v>
      </c>
      <c r="S1122" s="18">
        <f t="shared" si="250"/>
        <v>29.19</v>
      </c>
      <c r="T1122" s="19">
        <f t="shared" si="251"/>
        <v>-54.210000000000008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83.4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5515</v>
      </c>
      <c r="B1123" s="21" t="s">
        <v>5516</v>
      </c>
      <c r="C1123" s="1">
        <v>1</v>
      </c>
      <c r="D1123" s="1" t="s">
        <v>5523</v>
      </c>
      <c r="E1123" s="7">
        <v>4763</v>
      </c>
      <c r="F1123" s="7">
        <v>65</v>
      </c>
      <c r="G1123" s="1">
        <v>61.1</v>
      </c>
      <c r="H1123" s="34">
        <f>Tabela1[[#This Row],[PESO UNI]]*Tabela1[[#This Row],[QTE]]</f>
        <v>61.1</v>
      </c>
      <c r="I1123" s="7" t="s">
        <v>5585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51.018499999999996</v>
      </c>
      <c r="S1123" s="18">
        <f t="shared" si="250"/>
        <v>21.384999999999998</v>
      </c>
      <c r="T1123" s="19">
        <f t="shared" si="251"/>
        <v>-39.715000000000003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61.1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5515</v>
      </c>
      <c r="B1124" s="21" t="s">
        <v>5516</v>
      </c>
      <c r="C1124" s="1">
        <v>1</v>
      </c>
      <c r="D1124" s="1" t="s">
        <v>5524</v>
      </c>
      <c r="E1124" s="7">
        <v>4764</v>
      </c>
      <c r="F1124" s="7">
        <v>65</v>
      </c>
      <c r="G1124" s="1">
        <v>87.1</v>
      </c>
      <c r="H1124" s="34">
        <f>Tabela1[[#This Row],[PESO UNI]]*Tabela1[[#This Row],[QTE]]</f>
        <v>87.1</v>
      </c>
      <c r="I1124" s="7" t="s">
        <v>5585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49"/>
        <v>72.728499999999997</v>
      </c>
      <c r="S1124" s="18">
        <f t="shared" si="250"/>
        <v>30.484999999999996</v>
      </c>
      <c r="T1124" s="19">
        <f t="shared" si="251"/>
        <v>-56.614999999999995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-1</v>
      </c>
      <c r="Z1124" s="20">
        <f>Tabela1[[#This Row],[PESO TOTAL]]-Tabela1[[#This Row],[Peso Expedido]]</f>
        <v>87.1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5515</v>
      </c>
      <c r="B1125" s="21" t="s">
        <v>5516</v>
      </c>
      <c r="C1125" s="1">
        <v>1</v>
      </c>
      <c r="D1125" s="1" t="s">
        <v>5525</v>
      </c>
      <c r="E1125" s="7">
        <v>4765</v>
      </c>
      <c r="F1125" s="7">
        <v>65</v>
      </c>
      <c r="G1125" s="1">
        <v>79.2</v>
      </c>
      <c r="H1125" s="34">
        <f>Tabela1[[#This Row],[PESO UNI]]*Tabela1[[#This Row],[QTE]]</f>
        <v>79.2</v>
      </c>
      <c r="I1125" s="7" t="s">
        <v>5585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66.132000000000005</v>
      </c>
      <c r="S1125" s="18">
        <f t="shared" si="250"/>
        <v>27.72</v>
      </c>
      <c r="T1125" s="19">
        <f t="shared" si="251"/>
        <v>-51.480000000000004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79.2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5515</v>
      </c>
      <c r="B1126" s="21" t="s">
        <v>5516</v>
      </c>
      <c r="C1126" s="1">
        <v>1</v>
      </c>
      <c r="D1126" s="1" t="s">
        <v>5526</v>
      </c>
      <c r="E1126" s="7">
        <v>4766</v>
      </c>
      <c r="F1126" s="7">
        <v>65</v>
      </c>
      <c r="G1126" s="1">
        <v>54.3</v>
      </c>
      <c r="H1126" s="34">
        <f>Tabela1[[#This Row],[PESO UNI]]*Tabela1[[#This Row],[QTE]]</f>
        <v>54.3</v>
      </c>
      <c r="I1126" s="7" t="s">
        <v>5585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45.340499999999999</v>
      </c>
      <c r="S1126" s="18">
        <f t="shared" si="250"/>
        <v>19.004999999999999</v>
      </c>
      <c r="T1126" s="19">
        <f t="shared" si="251"/>
        <v>-35.295000000000002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54.3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5527</v>
      </c>
      <c r="B1127" s="21"/>
      <c r="C1127" s="1">
        <v>1</v>
      </c>
      <c r="D1127" s="1" t="s">
        <v>5528</v>
      </c>
      <c r="E1127" s="7">
        <v>4767</v>
      </c>
      <c r="F1127" s="7">
        <v>2</v>
      </c>
      <c r="G1127" s="1">
        <v>101.4</v>
      </c>
      <c r="H1127" s="34">
        <f>Tabela1[[#This Row],[PESO UNI]]*Tabela1[[#This Row],[QTE]]</f>
        <v>101.4</v>
      </c>
      <c r="I1127" s="7">
        <v>0</v>
      </c>
      <c r="J1127" s="8" t="s">
        <v>5529</v>
      </c>
      <c r="K1127" s="8" t="s">
        <v>4320</v>
      </c>
      <c r="L1127" s="9" t="s">
        <v>5530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25.35</v>
      </c>
      <c r="S1127" s="18">
        <f t="shared" si="250"/>
        <v>0</v>
      </c>
      <c r="T1127" s="19">
        <f t="shared" si="251"/>
        <v>-101.4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101.4</v>
      </c>
      <c r="AA1127" s="17">
        <v>1</v>
      </c>
      <c r="AB1127" s="33"/>
      <c r="AC1127" s="33"/>
      <c r="AD1127" s="33"/>
      <c r="AE1127" s="33"/>
      <c r="AF1127" s="33"/>
      <c r="AG1127" s="33"/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5527</v>
      </c>
      <c r="B1128" s="21"/>
      <c r="C1128" s="1">
        <v>1</v>
      </c>
      <c r="D1128" s="1" t="s">
        <v>5531</v>
      </c>
      <c r="E1128" s="7">
        <v>4768</v>
      </c>
      <c r="F1128" s="7">
        <v>2</v>
      </c>
      <c r="G1128" s="1">
        <v>110</v>
      </c>
      <c r="H1128" s="34">
        <f>Tabela1[[#This Row],[PESO UNI]]*Tabela1[[#This Row],[QTE]]</f>
        <v>110</v>
      </c>
      <c r="I1128" s="7">
        <v>0</v>
      </c>
      <c r="J1128" s="8" t="s">
        <v>5529</v>
      </c>
      <c r="K1128" s="8" t="s">
        <v>4320</v>
      </c>
      <c r="L1128" s="9" t="s">
        <v>5530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27.5</v>
      </c>
      <c r="S1128" s="18">
        <f t="shared" si="250"/>
        <v>0</v>
      </c>
      <c r="T1128" s="19">
        <f t="shared" si="251"/>
        <v>-110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110</v>
      </c>
      <c r="AA1128" s="17">
        <v>1</v>
      </c>
      <c r="AB1128" s="33"/>
      <c r="AC1128" s="33"/>
      <c r="AD1128" s="33"/>
      <c r="AE1128" s="33"/>
      <c r="AF1128" s="33"/>
      <c r="AG1128" s="33"/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5527</v>
      </c>
      <c r="B1129" s="21"/>
      <c r="C1129" s="1">
        <v>1</v>
      </c>
      <c r="D1129" s="1" t="s">
        <v>5532</v>
      </c>
      <c r="E1129" s="7">
        <v>4769</v>
      </c>
      <c r="F1129" s="7">
        <v>2</v>
      </c>
      <c r="G1129" s="1">
        <v>2.4</v>
      </c>
      <c r="H1129" s="34">
        <f>Tabela1[[#This Row],[PESO UNI]]*Tabela1[[#This Row],[QTE]]</f>
        <v>2.4</v>
      </c>
      <c r="I1129" s="7">
        <v>0</v>
      </c>
      <c r="J1129" s="8" t="s">
        <v>5529</v>
      </c>
      <c r="K1129" s="8" t="s">
        <v>4320</v>
      </c>
      <c r="L1129" s="9" t="s">
        <v>5530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0.6</v>
      </c>
      <c r="S1129" s="18">
        <f t="shared" si="250"/>
        <v>0</v>
      </c>
      <c r="T1129" s="19">
        <f t="shared" si="251"/>
        <v>-2.4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2.4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5527</v>
      </c>
      <c r="B1130" s="21"/>
      <c r="C1130" s="1">
        <v>1</v>
      </c>
      <c r="D1130" s="1" t="s">
        <v>5533</v>
      </c>
      <c r="E1130" s="7">
        <v>4770</v>
      </c>
      <c r="F1130" s="7">
        <v>2</v>
      </c>
      <c r="G1130" s="1">
        <v>2.2000000000000002</v>
      </c>
      <c r="H1130" s="34">
        <f>Tabela1[[#This Row],[PESO UNI]]*Tabela1[[#This Row],[QTE]]</f>
        <v>2.2000000000000002</v>
      </c>
      <c r="I1130" s="7">
        <v>0</v>
      </c>
      <c r="J1130" s="8" t="s">
        <v>5529</v>
      </c>
      <c r="K1130" s="8" t="s">
        <v>4320</v>
      </c>
      <c r="L1130" s="9" t="s">
        <v>5530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0.55000000000000004</v>
      </c>
      <c r="S1130" s="18">
        <f t="shared" si="250"/>
        <v>0</v>
      </c>
      <c r="T1130" s="19">
        <f t="shared" si="251"/>
        <v>-2.2000000000000002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52"/>
        <v>-1</v>
      </c>
      <c r="Z1130" s="20">
        <f>Tabela1[[#This Row],[PESO TOTAL]]-Tabela1[[#This Row],[Peso Expedido]]</f>
        <v>2.2000000000000002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5527</v>
      </c>
      <c r="B1131" s="21"/>
      <c r="C1131" s="1">
        <v>1</v>
      </c>
      <c r="D1131" s="1" t="s">
        <v>5534</v>
      </c>
      <c r="E1131" s="7">
        <v>4771</v>
      </c>
      <c r="F1131" s="7">
        <v>2</v>
      </c>
      <c r="G1131" s="1">
        <v>3.4</v>
      </c>
      <c r="H1131" s="34">
        <f>Tabela1[[#This Row],[PESO UNI]]*Tabela1[[#This Row],[QTE]]</f>
        <v>3.4</v>
      </c>
      <c r="I1131" s="7">
        <v>0</v>
      </c>
      <c r="J1131" s="8" t="s">
        <v>5529</v>
      </c>
      <c r="K1131" s="8" t="s">
        <v>4320</v>
      </c>
      <c r="L1131" s="9" t="s">
        <v>5530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0.85</v>
      </c>
      <c r="S1131" s="18">
        <f t="shared" si="250"/>
        <v>0</v>
      </c>
      <c r="T1131" s="19">
        <f t="shared" si="251"/>
        <v>-3.4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52"/>
        <v>-1</v>
      </c>
      <c r="Z1131" s="20">
        <f>Tabela1[[#This Row],[PESO TOTAL]]-Tabela1[[#This Row],[Peso Expedido]]</f>
        <v>3.4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5535</v>
      </c>
      <c r="B1132" s="21"/>
      <c r="C1132" s="1">
        <v>1</v>
      </c>
      <c r="D1132" s="1" t="s">
        <v>5536</v>
      </c>
      <c r="E1132" s="7">
        <v>4772</v>
      </c>
      <c r="F1132" s="7">
        <v>2</v>
      </c>
      <c r="G1132" s="1">
        <v>112</v>
      </c>
      <c r="H1132" s="34">
        <f>Tabela1[[#This Row],[PESO UNI]]*Tabela1[[#This Row],[QTE]]</f>
        <v>112</v>
      </c>
      <c r="I1132" s="7">
        <v>0</v>
      </c>
      <c r="J1132" s="8" t="s">
        <v>5529</v>
      </c>
      <c r="K1132" s="8" t="s">
        <v>4320</v>
      </c>
      <c r="L1132" s="9" t="s">
        <v>5530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28</v>
      </c>
      <c r="S1132" s="18">
        <f t="shared" si="250"/>
        <v>0</v>
      </c>
      <c r="T1132" s="19">
        <f t="shared" si="251"/>
        <v>-112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52"/>
        <v>-1</v>
      </c>
      <c r="Z1132" s="20">
        <f>Tabela1[[#This Row],[PESO TOTAL]]-Tabela1[[#This Row],[Peso Expedido]]</f>
        <v>112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5537</v>
      </c>
      <c r="B1133" s="21"/>
      <c r="C1133" s="1">
        <v>1</v>
      </c>
      <c r="D1133" s="1" t="s">
        <v>5538</v>
      </c>
      <c r="E1133" s="7">
        <v>4773</v>
      </c>
      <c r="F1133" s="7">
        <v>2</v>
      </c>
      <c r="G1133" s="1">
        <v>191.6</v>
      </c>
      <c r="H1133" s="34">
        <f>Tabela1[[#This Row],[PESO UNI]]*Tabela1[[#This Row],[QTE]]</f>
        <v>191.6</v>
      </c>
      <c r="I1133" s="7">
        <v>0</v>
      </c>
      <c r="J1133" s="8" t="s">
        <v>5529</v>
      </c>
      <c r="K1133" s="8" t="s">
        <v>4320</v>
      </c>
      <c r="L1133" s="9" t="s">
        <v>5530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47.9</v>
      </c>
      <c r="S1133" s="18">
        <f t="shared" si="250"/>
        <v>0</v>
      </c>
      <c r="T1133" s="19">
        <f t="shared" si="251"/>
        <v>-191.6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52"/>
        <v>-1</v>
      </c>
      <c r="Z1133" s="20">
        <f>Tabela1[[#This Row],[PESO TOTAL]]-Tabela1[[#This Row],[Peso Expedido]]</f>
        <v>191.6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5537</v>
      </c>
      <c r="B1134" s="21"/>
      <c r="C1134" s="1">
        <v>1</v>
      </c>
      <c r="D1134" s="1" t="s">
        <v>5539</v>
      </c>
      <c r="E1134" s="7">
        <v>4774</v>
      </c>
      <c r="F1134" s="7">
        <v>2</v>
      </c>
      <c r="G1134" s="1">
        <v>14.8</v>
      </c>
      <c r="H1134" s="34">
        <f>Tabela1[[#This Row],[PESO UNI]]*Tabela1[[#This Row],[QTE]]</f>
        <v>14.8</v>
      </c>
      <c r="I1134" s="7">
        <v>0</v>
      </c>
      <c r="J1134" s="8" t="s">
        <v>5529</v>
      </c>
      <c r="K1134" s="8" t="s">
        <v>4320</v>
      </c>
      <c r="L1134" s="9" t="s">
        <v>5530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3.7</v>
      </c>
      <c r="S1134" s="18">
        <f t="shared" si="250"/>
        <v>0</v>
      </c>
      <c r="T1134" s="19">
        <f t="shared" si="251"/>
        <v>-14.8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52"/>
        <v>-1</v>
      </c>
      <c r="Z1134" s="20">
        <f>Tabela1[[#This Row],[PESO TOTAL]]-Tabela1[[#This Row],[Peso Expedido]]</f>
        <v>14.8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5537</v>
      </c>
      <c r="B1135" s="21"/>
      <c r="C1135" s="1">
        <v>1</v>
      </c>
      <c r="D1135" s="1" t="s">
        <v>5540</v>
      </c>
      <c r="E1135" s="7">
        <v>4775</v>
      </c>
      <c r="F1135" s="7">
        <v>2</v>
      </c>
      <c r="G1135" s="1">
        <v>15.3</v>
      </c>
      <c r="H1135" s="34">
        <f>Tabela1[[#This Row],[PESO UNI]]*Tabela1[[#This Row],[QTE]]</f>
        <v>15.3</v>
      </c>
      <c r="I1135" s="7">
        <v>0</v>
      </c>
      <c r="J1135" s="8" t="s">
        <v>5529</v>
      </c>
      <c r="K1135" s="8" t="s">
        <v>4320</v>
      </c>
      <c r="L1135" s="9" t="s">
        <v>5530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3.8250000000000002</v>
      </c>
      <c r="S1135" s="18">
        <f t="shared" si="250"/>
        <v>0</v>
      </c>
      <c r="T1135" s="19">
        <f t="shared" si="251"/>
        <v>-15.3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52"/>
        <v>-1</v>
      </c>
      <c r="Z1135" s="20">
        <f>Tabela1[[#This Row],[PESO TOTAL]]-Tabela1[[#This Row],[Peso Expedido]]</f>
        <v>15.3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5542</v>
      </c>
      <c r="B1136" s="21"/>
      <c r="C1136" s="1">
        <v>1</v>
      </c>
      <c r="D1136" s="1" t="s">
        <v>5543</v>
      </c>
      <c r="E1136" s="7">
        <v>4776</v>
      </c>
      <c r="F1136" s="7">
        <v>2</v>
      </c>
      <c r="G1136" s="1">
        <v>54.2</v>
      </c>
      <c r="H1136" s="34">
        <f>Tabela1[[#This Row],[PESO UNI]]*Tabela1[[#This Row],[QTE]]</f>
        <v>54.2</v>
      </c>
      <c r="I1136" s="7">
        <v>0</v>
      </c>
      <c r="J1136" s="8" t="s">
        <v>5529</v>
      </c>
      <c r="K1136" s="8" t="s">
        <v>4320</v>
      </c>
      <c r="L1136" s="9" t="s">
        <v>5530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13.55</v>
      </c>
      <c r="S1136" s="18">
        <f t="shared" si="250"/>
        <v>0</v>
      </c>
      <c r="T1136" s="19">
        <f t="shared" si="251"/>
        <v>-54.2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52"/>
        <v>-1</v>
      </c>
      <c r="Z1136" s="20">
        <f>Tabela1[[#This Row],[PESO TOTAL]]-Tabela1[[#This Row],[Peso Expedido]]</f>
        <v>54.2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5542</v>
      </c>
      <c r="B1137" s="21"/>
      <c r="C1137" s="1">
        <v>1</v>
      </c>
      <c r="D1137" s="1" t="s">
        <v>5544</v>
      </c>
      <c r="E1137" s="7">
        <v>4777</v>
      </c>
      <c r="F1137" s="7">
        <v>2</v>
      </c>
      <c r="G1137" s="1">
        <v>101.9</v>
      </c>
      <c r="H1137" s="34">
        <f>Tabela1[[#This Row],[PESO UNI]]*Tabela1[[#This Row],[QTE]]</f>
        <v>101.9</v>
      </c>
      <c r="I1137" s="7">
        <v>0</v>
      </c>
      <c r="J1137" s="8" t="s">
        <v>5529</v>
      </c>
      <c r="K1137" s="8" t="s">
        <v>4320</v>
      </c>
      <c r="L1137" s="9" t="s">
        <v>5530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25.475000000000001</v>
      </c>
      <c r="S1137" s="18">
        <f t="shared" si="250"/>
        <v>0</v>
      </c>
      <c r="T1137" s="19">
        <f t="shared" si="251"/>
        <v>-101.9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52"/>
        <v>-1</v>
      </c>
      <c r="Z1137" s="20">
        <f>Tabela1[[#This Row],[PESO TOTAL]]-Tabela1[[#This Row],[Peso Expedido]]</f>
        <v>101.9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5545</v>
      </c>
      <c r="B1138" s="21"/>
      <c r="C1138" s="1">
        <v>1</v>
      </c>
      <c r="D1138" s="1" t="s">
        <v>5546</v>
      </c>
      <c r="E1138" s="7">
        <v>4778</v>
      </c>
      <c r="F1138" s="7">
        <v>2</v>
      </c>
      <c r="G1138" s="1">
        <v>367.7</v>
      </c>
      <c r="H1138" s="34">
        <f>Tabela1[[#This Row],[PESO UNI]]*Tabela1[[#This Row],[QTE]]</f>
        <v>367.7</v>
      </c>
      <c r="I1138" s="7">
        <v>0</v>
      </c>
      <c r="J1138" s="8" t="s">
        <v>5529</v>
      </c>
      <c r="K1138" s="8" t="s">
        <v>4320</v>
      </c>
      <c r="L1138" s="9" t="s">
        <v>5530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91.924999999999997</v>
      </c>
      <c r="S1138" s="18">
        <f t="shared" si="250"/>
        <v>0</v>
      </c>
      <c r="T1138" s="19">
        <f t="shared" si="251"/>
        <v>-367.7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52"/>
        <v>-1</v>
      </c>
      <c r="Z1138" s="20">
        <f>Tabela1[[#This Row],[PESO TOTAL]]-Tabela1[[#This Row],[Peso Expedido]]</f>
        <v>367.7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5541</v>
      </c>
      <c r="B1139" s="21"/>
      <c r="C1139" s="1">
        <v>1</v>
      </c>
      <c r="D1139" s="1" t="s">
        <v>5547</v>
      </c>
      <c r="E1139" s="7">
        <v>4779</v>
      </c>
      <c r="F1139" s="7">
        <v>2</v>
      </c>
      <c r="G1139" s="1">
        <v>217.8</v>
      </c>
      <c r="H1139" s="34">
        <f>Tabela1[[#This Row],[PESO UNI]]*Tabela1[[#This Row],[QTE]]</f>
        <v>217.8</v>
      </c>
      <c r="I1139" s="7">
        <v>0</v>
      </c>
      <c r="J1139" s="8" t="s">
        <v>5529</v>
      </c>
      <c r="K1139" s="8" t="s">
        <v>4320</v>
      </c>
      <c r="L1139" s="9" t="s">
        <v>5530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54.45</v>
      </c>
      <c r="S1139" s="18">
        <f t="shared" si="250"/>
        <v>0</v>
      </c>
      <c r="T1139" s="19">
        <f t="shared" si="251"/>
        <v>-217.8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52"/>
        <v>-1</v>
      </c>
      <c r="Z1139" s="20">
        <f>Tabela1[[#This Row],[PESO TOTAL]]-Tabela1[[#This Row],[Peso Expedido]]</f>
        <v>217.8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5548</v>
      </c>
      <c r="B1140" s="21"/>
      <c r="C1140" s="1">
        <v>5</v>
      </c>
      <c r="D1140" s="1" t="s">
        <v>5549</v>
      </c>
      <c r="E1140" s="7">
        <v>4780</v>
      </c>
      <c r="F1140" s="7">
        <v>2</v>
      </c>
      <c r="G1140" s="1">
        <v>316.7</v>
      </c>
      <c r="H1140" s="34">
        <f>Tabela1[[#This Row],[PESO UNI]]*Tabela1[[#This Row],[QTE]]</f>
        <v>1583.5</v>
      </c>
      <c r="I1140" s="7">
        <v>0</v>
      </c>
      <c r="J1140" s="8" t="s">
        <v>5529</v>
      </c>
      <c r="K1140" s="8" t="s">
        <v>4320</v>
      </c>
      <c r="L1140" s="9" t="s">
        <v>5530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-5</v>
      </c>
      <c r="R1140" s="18">
        <f t="shared" si="249"/>
        <v>395.875</v>
      </c>
      <c r="S1140" s="18">
        <f t="shared" si="250"/>
        <v>0</v>
      </c>
      <c r="T1140" s="19">
        <f t="shared" si="251"/>
        <v>-1583.5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52"/>
        <v>-5</v>
      </c>
      <c r="Z1140" s="20">
        <f>Tabela1[[#This Row],[PESO TOTAL]]-Tabela1[[#This Row],[Peso Expedido]]</f>
        <v>1583.5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5550</v>
      </c>
      <c r="B1141" s="21"/>
      <c r="C1141" s="1">
        <v>1</v>
      </c>
      <c r="D1141" s="1" t="s">
        <v>5551</v>
      </c>
      <c r="E1141" s="7">
        <v>4781</v>
      </c>
      <c r="F1141" s="7">
        <v>2</v>
      </c>
      <c r="G1141" s="1">
        <v>251.8</v>
      </c>
      <c r="H1141" s="34">
        <f>Tabela1[[#This Row],[PESO UNI]]*Tabela1[[#This Row],[QTE]]</f>
        <v>251.8</v>
      </c>
      <c r="I1141" s="7">
        <v>0</v>
      </c>
      <c r="J1141" s="8" t="s">
        <v>5529</v>
      </c>
      <c r="K1141" s="8" t="s">
        <v>4320</v>
      </c>
      <c r="L1141" s="9" t="s">
        <v>5530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62.95</v>
      </c>
      <c r="S1141" s="18">
        <f t="shared" si="250"/>
        <v>0</v>
      </c>
      <c r="T1141" s="19">
        <f t="shared" si="251"/>
        <v>-251.8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52"/>
        <v>-1</v>
      </c>
      <c r="Z1141" s="20">
        <f>Tabela1[[#This Row],[PESO TOTAL]]-Tabela1[[#This Row],[Peso Expedido]]</f>
        <v>251.8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5552</v>
      </c>
      <c r="B1142" s="21"/>
      <c r="C1142" s="1">
        <v>1</v>
      </c>
      <c r="D1142" s="1" t="s">
        <v>5553</v>
      </c>
      <c r="E1142" s="7">
        <v>4782</v>
      </c>
      <c r="F1142" s="7">
        <v>2</v>
      </c>
      <c r="G1142" s="1">
        <v>157.6</v>
      </c>
      <c r="H1142" s="34">
        <f>Tabela1[[#This Row],[PESO UNI]]*Tabela1[[#This Row],[QTE]]</f>
        <v>157.6</v>
      </c>
      <c r="I1142" s="7">
        <v>0</v>
      </c>
      <c r="J1142" s="8" t="s">
        <v>5529</v>
      </c>
      <c r="K1142" s="8" t="s">
        <v>4320</v>
      </c>
      <c r="L1142" s="9" t="s">
        <v>5530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39.4</v>
      </c>
      <c r="S1142" s="18">
        <f t="shared" si="250"/>
        <v>0</v>
      </c>
      <c r="T1142" s="19">
        <f t="shared" si="251"/>
        <v>-157.6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52"/>
        <v>-1</v>
      </c>
      <c r="Z1142" s="20">
        <f>Tabela1[[#This Row],[PESO TOTAL]]-Tabela1[[#This Row],[Peso Expedido]]</f>
        <v>157.6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5556</v>
      </c>
      <c r="B1143" s="21" t="s">
        <v>5557</v>
      </c>
      <c r="C1143" s="1">
        <v>1</v>
      </c>
      <c r="D1143" s="1" t="s">
        <v>5558</v>
      </c>
      <c r="E1143" s="7">
        <v>4783</v>
      </c>
      <c r="F1143" s="7">
        <v>33</v>
      </c>
      <c r="G1143" s="1">
        <v>442.7</v>
      </c>
      <c r="H1143" s="34">
        <f>Tabela1[[#This Row],[PESO UNI]]*Tabela1[[#This Row],[QTE]]</f>
        <v>442.7</v>
      </c>
      <c r="I1143" s="7" t="s">
        <v>5583</v>
      </c>
      <c r="J1143" s="8" t="s">
        <v>4834</v>
      </c>
      <c r="K1143" s="8" t="s">
        <v>4320</v>
      </c>
      <c r="L1143" s="9" t="s">
        <v>3291</v>
      </c>
      <c r="M1143" s="10">
        <v>46266</v>
      </c>
      <c r="N1143" s="8" t="s">
        <v>38</v>
      </c>
      <c r="O1143" s="12"/>
      <c r="P1143" s="13"/>
      <c r="Q1143" s="14">
        <f>Tabela1[[#This Row],[QTDE/ Fabricação]]-Tabela1[[#This Row],[QTE]]</f>
        <v>-1</v>
      </c>
      <c r="R1143" s="18">
        <f t="shared" ref="R1143:R1160" si="253">IFERROR(H1143*((AA1143*0.25)+(AC1143*0.25)+(AD1143*0.225)+(AE1143*0.225)+(AF1143*0.05)),"")</f>
        <v>110.675</v>
      </c>
      <c r="S1143" s="18">
        <f t="shared" ref="S1143:S1160" si="254">IFERROR(H1143*AG1143,"")</f>
        <v>0</v>
      </c>
      <c r="T1143" s="19">
        <f t="shared" ref="T1143:T1160" si="255">IFERROR(S1143-H1143,"")</f>
        <v>-442.7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ref="Y1143:Y1160" si="256">U1143-C1143</f>
        <v>-1</v>
      </c>
      <c r="Z1143" s="20">
        <f>Tabela1[[#This Row],[PESO TOTAL]]-Tabela1[[#This Row],[Peso Expedido]]</f>
        <v>442.7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5556</v>
      </c>
      <c r="B1144" s="21" t="s">
        <v>5557</v>
      </c>
      <c r="C1144" s="1">
        <v>4</v>
      </c>
      <c r="D1144" s="1" t="s">
        <v>5559</v>
      </c>
      <c r="E1144" s="7">
        <v>4784</v>
      </c>
      <c r="F1144" s="7">
        <v>33</v>
      </c>
      <c r="G1144" s="1">
        <v>3.1</v>
      </c>
      <c r="H1144" s="34">
        <f>Tabela1[[#This Row],[PESO UNI]]*Tabela1[[#This Row],[QTE]]</f>
        <v>12.4</v>
      </c>
      <c r="I1144" s="7" t="s">
        <v>5583</v>
      </c>
      <c r="J1144" s="8" t="s">
        <v>4834</v>
      </c>
      <c r="K1144" s="8" t="s">
        <v>4320</v>
      </c>
      <c r="L1144" s="9" t="s">
        <v>3291</v>
      </c>
      <c r="M1144" s="10">
        <v>46266</v>
      </c>
      <c r="N1144" s="8" t="s">
        <v>38</v>
      </c>
      <c r="O1144" s="12"/>
      <c r="P1144" s="13"/>
      <c r="Q1144" s="14">
        <f>Tabela1[[#This Row],[QTDE/ Fabricação]]-Tabela1[[#This Row],[QTE]]</f>
        <v>-4</v>
      </c>
      <c r="R1144" s="18">
        <f t="shared" si="253"/>
        <v>3.1</v>
      </c>
      <c r="S1144" s="18">
        <f t="shared" si="254"/>
        <v>0</v>
      </c>
      <c r="T1144" s="19">
        <f t="shared" si="255"/>
        <v>-12.4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56"/>
        <v>-4</v>
      </c>
      <c r="Z1144" s="20">
        <f>Tabela1[[#This Row],[PESO TOTAL]]-Tabela1[[#This Row],[Peso Expedido]]</f>
        <v>12.4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5560</v>
      </c>
      <c r="B1145" s="21" t="s">
        <v>5561</v>
      </c>
      <c r="C1145" s="1">
        <v>1</v>
      </c>
      <c r="D1145" s="1" t="s">
        <v>5562</v>
      </c>
      <c r="E1145" s="7">
        <v>4785</v>
      </c>
      <c r="F1145" s="7">
        <v>19</v>
      </c>
      <c r="G1145" s="1">
        <v>675</v>
      </c>
      <c r="H1145" s="34">
        <f>Tabela1[[#This Row],[PESO UNI]]*Tabela1[[#This Row],[QTE]]</f>
        <v>675</v>
      </c>
      <c r="I1145" s="7" t="s">
        <v>5583</v>
      </c>
      <c r="J1145" s="8" t="s">
        <v>4834</v>
      </c>
      <c r="K1145" s="8" t="s">
        <v>4320</v>
      </c>
      <c r="L1145" s="9" t="s">
        <v>3291</v>
      </c>
      <c r="M1145" s="10">
        <v>46252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si="253"/>
        <v>410.0625</v>
      </c>
      <c r="S1145" s="18">
        <f t="shared" si="254"/>
        <v>0</v>
      </c>
      <c r="T1145" s="19">
        <f t="shared" si="255"/>
        <v>-675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si="256"/>
        <v>-1</v>
      </c>
      <c r="Z1145" s="20">
        <f>Tabela1[[#This Row],[PESO TOTAL]]-Tabela1[[#This Row],[Peso Expedido]]</f>
        <v>675</v>
      </c>
      <c r="AA1145" s="17">
        <v>0.9</v>
      </c>
      <c r="AB1145" s="33"/>
      <c r="AC1145" s="33">
        <v>0.9</v>
      </c>
      <c r="AD1145" s="33">
        <v>0.7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5563</v>
      </c>
      <c r="B1146" s="21"/>
      <c r="C1146" s="1">
        <v>8</v>
      </c>
      <c r="D1146" s="1" t="s">
        <v>5564</v>
      </c>
      <c r="E1146" s="7">
        <v>4786</v>
      </c>
      <c r="F1146" s="7">
        <v>3</v>
      </c>
      <c r="G1146" s="1">
        <v>0.6</v>
      </c>
      <c r="H1146" s="34">
        <f>Tabela1[[#This Row],[PESO UNI]]*Tabela1[[#This Row],[QTE]]</f>
        <v>4.8</v>
      </c>
      <c r="I1146" s="7">
        <v>0</v>
      </c>
      <c r="J1146" s="8" t="s">
        <v>5529</v>
      </c>
      <c r="K1146" s="8" t="s">
        <v>4320</v>
      </c>
      <c r="L1146" s="9" t="s">
        <v>5530</v>
      </c>
      <c r="M1146" s="10">
        <v>46267</v>
      </c>
      <c r="N1146" s="8" t="s">
        <v>5105</v>
      </c>
      <c r="O1146" s="12"/>
      <c r="P1146" s="13"/>
      <c r="Q1146" s="14">
        <f>Tabela1[[#This Row],[QTDE/ Fabricação]]-Tabela1[[#This Row],[QTE]]</f>
        <v>-8</v>
      </c>
      <c r="R1146" s="18">
        <f t="shared" si="253"/>
        <v>1.2</v>
      </c>
      <c r="S1146" s="18">
        <f t="shared" si="254"/>
        <v>0</v>
      </c>
      <c r="T1146" s="19">
        <f t="shared" si="255"/>
        <v>-4.8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-8</v>
      </c>
      <c r="Z1146" s="20">
        <f>Tabela1[[#This Row],[PESO TOTAL]]-Tabela1[[#This Row],[Peso Expedido]]</f>
        <v>4.8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5563</v>
      </c>
      <c r="B1147" s="21"/>
      <c r="C1147" s="1">
        <v>1</v>
      </c>
      <c r="D1147" s="1" t="s">
        <v>5565</v>
      </c>
      <c r="E1147" s="7">
        <v>4787</v>
      </c>
      <c r="F1147" s="7">
        <v>3</v>
      </c>
      <c r="G1147" s="1">
        <v>14.4</v>
      </c>
      <c r="H1147" s="34">
        <f>Tabela1[[#This Row],[PESO UNI]]*Tabela1[[#This Row],[QTE]]</f>
        <v>14.4</v>
      </c>
      <c r="I1147" s="7">
        <v>0</v>
      </c>
      <c r="J1147" s="8" t="s">
        <v>5529</v>
      </c>
      <c r="K1147" s="8" t="s">
        <v>4320</v>
      </c>
      <c r="L1147" s="9" t="s">
        <v>5530</v>
      </c>
      <c r="M1147" s="10">
        <v>46267</v>
      </c>
      <c r="N1147" s="8" t="s">
        <v>5105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3.6</v>
      </c>
      <c r="S1147" s="18">
        <f t="shared" si="254"/>
        <v>0</v>
      </c>
      <c r="T1147" s="19">
        <f t="shared" si="255"/>
        <v>-14.4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14.4</v>
      </c>
      <c r="AA1147" s="17">
        <v>1</v>
      </c>
      <c r="AB1147" s="33"/>
      <c r="AC1147" s="33"/>
      <c r="AD1147" s="33"/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5563</v>
      </c>
      <c r="B1148" s="21"/>
      <c r="C1148" s="1">
        <v>1</v>
      </c>
      <c r="D1148" s="1" t="s">
        <v>5566</v>
      </c>
      <c r="E1148" s="7">
        <v>4788</v>
      </c>
      <c r="F1148" s="7">
        <v>3</v>
      </c>
      <c r="G1148" s="1">
        <v>14.4</v>
      </c>
      <c r="H1148" s="34">
        <f>Tabela1[[#This Row],[PESO UNI]]*Tabela1[[#This Row],[QTE]]</f>
        <v>14.4</v>
      </c>
      <c r="I1148" s="7">
        <v>0</v>
      </c>
      <c r="J1148" s="8" t="s">
        <v>5529</v>
      </c>
      <c r="K1148" s="8" t="s">
        <v>4320</v>
      </c>
      <c r="L1148" s="9" t="s">
        <v>5530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-1</v>
      </c>
      <c r="R1148" s="18">
        <f t="shared" si="253"/>
        <v>3.6</v>
      </c>
      <c r="S1148" s="18">
        <f t="shared" si="254"/>
        <v>0</v>
      </c>
      <c r="T1148" s="19">
        <f t="shared" si="255"/>
        <v>-14.4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56"/>
        <v>-1</v>
      </c>
      <c r="Z1148" s="20">
        <f>Tabela1[[#This Row],[PESO TOTAL]]-Tabela1[[#This Row],[Peso Expedido]]</f>
        <v>14.4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5567</v>
      </c>
      <c r="B1149" s="21"/>
      <c r="C1149" s="1">
        <v>1</v>
      </c>
      <c r="D1149" s="1" t="s">
        <v>5568</v>
      </c>
      <c r="E1149" s="7">
        <v>4789</v>
      </c>
      <c r="F1149" s="7">
        <v>3</v>
      </c>
      <c r="G1149" s="1">
        <v>0.1</v>
      </c>
      <c r="H1149" s="34">
        <f>Tabela1[[#This Row],[PESO UNI]]*Tabela1[[#This Row],[QTE]]</f>
        <v>0.1</v>
      </c>
      <c r="I1149" s="7">
        <v>0</v>
      </c>
      <c r="J1149" s="8" t="s">
        <v>5529</v>
      </c>
      <c r="K1149" s="8" t="s">
        <v>4320</v>
      </c>
      <c r="L1149" s="9" t="s">
        <v>5530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2.5000000000000001E-2</v>
      </c>
      <c r="S1149" s="18">
        <f t="shared" si="254"/>
        <v>0</v>
      </c>
      <c r="T1149" s="19">
        <f t="shared" si="255"/>
        <v>-0.1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56"/>
        <v>-1</v>
      </c>
      <c r="Z1149" s="20">
        <f>Tabela1[[#This Row],[PESO TOTAL]]-Tabela1[[#This Row],[Peso Expedido]]</f>
        <v>0.1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5567</v>
      </c>
      <c r="B1150" s="21"/>
      <c r="C1150" s="1">
        <v>1</v>
      </c>
      <c r="D1150" s="1" t="s">
        <v>5569</v>
      </c>
      <c r="E1150" s="7">
        <v>4790</v>
      </c>
      <c r="F1150" s="7">
        <v>3</v>
      </c>
      <c r="G1150" s="1">
        <v>0.2</v>
      </c>
      <c r="H1150" s="34">
        <f>Tabela1[[#This Row],[PESO UNI]]*Tabela1[[#This Row],[QTE]]</f>
        <v>0.2</v>
      </c>
      <c r="I1150" s="7">
        <v>0</v>
      </c>
      <c r="J1150" s="8" t="s">
        <v>5529</v>
      </c>
      <c r="K1150" s="8" t="s">
        <v>4320</v>
      </c>
      <c r="L1150" s="9" t="s">
        <v>5530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0.05</v>
      </c>
      <c r="S1150" s="18">
        <f t="shared" si="254"/>
        <v>0</v>
      </c>
      <c r="T1150" s="19">
        <f t="shared" si="255"/>
        <v>-0.2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56"/>
        <v>-1</v>
      </c>
      <c r="Z1150" s="20">
        <f>Tabela1[[#This Row],[PESO TOTAL]]-Tabela1[[#This Row],[Peso Expedido]]</f>
        <v>0.2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5567</v>
      </c>
      <c r="B1151" s="21"/>
      <c r="C1151" s="1">
        <v>1</v>
      </c>
      <c r="D1151" s="1" t="s">
        <v>5570</v>
      </c>
      <c r="E1151" s="7">
        <v>4791</v>
      </c>
      <c r="F1151" s="7">
        <v>3</v>
      </c>
      <c r="G1151" s="1">
        <v>4.4000000000000004</v>
      </c>
      <c r="H1151" s="34">
        <f>Tabela1[[#This Row],[PESO UNI]]*Tabela1[[#This Row],[QTE]]</f>
        <v>4.4000000000000004</v>
      </c>
      <c r="I1151" s="7">
        <v>0</v>
      </c>
      <c r="J1151" s="8" t="s">
        <v>5529</v>
      </c>
      <c r="K1151" s="8" t="s">
        <v>4320</v>
      </c>
      <c r="L1151" s="9" t="s">
        <v>5530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1.1000000000000001</v>
      </c>
      <c r="S1151" s="18">
        <f t="shared" si="254"/>
        <v>0</v>
      </c>
      <c r="T1151" s="19">
        <f t="shared" si="255"/>
        <v>-4.4000000000000004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56"/>
        <v>-1</v>
      </c>
      <c r="Z1151" s="20">
        <f>Tabela1[[#This Row],[PESO TOTAL]]-Tabela1[[#This Row],[Peso Expedido]]</f>
        <v>4.4000000000000004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5567</v>
      </c>
      <c r="B1152" s="21"/>
      <c r="C1152" s="1">
        <v>1</v>
      </c>
      <c r="D1152" s="1" t="s">
        <v>5571</v>
      </c>
      <c r="E1152" s="7">
        <v>4792</v>
      </c>
      <c r="F1152" s="7">
        <v>3</v>
      </c>
      <c r="G1152" s="1">
        <v>4</v>
      </c>
      <c r="H1152" s="34">
        <f>Tabela1[[#This Row],[PESO UNI]]*Tabela1[[#This Row],[QTE]]</f>
        <v>4</v>
      </c>
      <c r="I1152" s="7">
        <v>0</v>
      </c>
      <c r="J1152" s="8" t="s">
        <v>5529</v>
      </c>
      <c r="K1152" s="8" t="s">
        <v>4320</v>
      </c>
      <c r="L1152" s="9" t="s">
        <v>5530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1</v>
      </c>
      <c r="S1152" s="18">
        <f t="shared" si="254"/>
        <v>0</v>
      </c>
      <c r="T1152" s="19">
        <f t="shared" si="255"/>
        <v>-4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56"/>
        <v>-1</v>
      </c>
      <c r="Z1152" s="20">
        <f>Tabela1[[#This Row],[PESO TOTAL]]-Tabela1[[#This Row],[Peso Expedido]]</f>
        <v>4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5567</v>
      </c>
      <c r="B1153" s="21"/>
      <c r="C1153" s="1">
        <v>1</v>
      </c>
      <c r="D1153" s="1" t="s">
        <v>5572</v>
      </c>
      <c r="E1153" s="7">
        <v>4792</v>
      </c>
      <c r="F1153" s="7">
        <v>3</v>
      </c>
      <c r="G1153" s="1">
        <v>2.9</v>
      </c>
      <c r="H1153" s="34">
        <f>Tabela1[[#This Row],[PESO UNI]]*Tabela1[[#This Row],[QTE]]</f>
        <v>2.9</v>
      </c>
      <c r="I1153" s="7">
        <v>0</v>
      </c>
      <c r="J1153" s="8" t="s">
        <v>5529</v>
      </c>
      <c r="K1153" s="8" t="s">
        <v>4320</v>
      </c>
      <c r="L1153" s="9" t="s">
        <v>5530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0.72499999999999998</v>
      </c>
      <c r="S1153" s="18">
        <f t="shared" si="254"/>
        <v>0</v>
      </c>
      <c r="T1153" s="19">
        <f t="shared" si="255"/>
        <v>-2.9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56"/>
        <v>-1</v>
      </c>
      <c r="Z1153" s="20">
        <f>Tabela1[[#This Row],[PESO TOTAL]]-Tabela1[[#This Row],[Peso Expedido]]</f>
        <v>2.9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5567</v>
      </c>
      <c r="B1154" s="21"/>
      <c r="C1154" s="1">
        <v>1</v>
      </c>
      <c r="D1154" s="1" t="s">
        <v>5573</v>
      </c>
      <c r="E1154" s="7">
        <v>4793</v>
      </c>
      <c r="F1154" s="7">
        <v>3</v>
      </c>
      <c r="G1154" s="1">
        <v>2</v>
      </c>
      <c r="H1154" s="34">
        <f>Tabela1[[#This Row],[PESO UNI]]*Tabela1[[#This Row],[QTE]]</f>
        <v>2</v>
      </c>
      <c r="I1154" s="7">
        <v>0</v>
      </c>
      <c r="J1154" s="8" t="s">
        <v>5529</v>
      </c>
      <c r="K1154" s="8" t="s">
        <v>4320</v>
      </c>
      <c r="L1154" s="9" t="s">
        <v>5530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0.5</v>
      </c>
      <c r="S1154" s="18">
        <f t="shared" si="254"/>
        <v>0</v>
      </c>
      <c r="T1154" s="19">
        <f t="shared" si="255"/>
        <v>-2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56"/>
        <v>-1</v>
      </c>
      <c r="Z1154" s="20">
        <f>Tabela1[[#This Row],[PESO TOTAL]]-Tabela1[[#This Row],[Peso Expedido]]</f>
        <v>2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5567</v>
      </c>
      <c r="B1155" s="21"/>
      <c r="C1155" s="1">
        <v>1</v>
      </c>
      <c r="D1155" s="1" t="s">
        <v>5574</v>
      </c>
      <c r="E1155" s="7">
        <v>4794</v>
      </c>
      <c r="F1155" s="7">
        <v>3</v>
      </c>
      <c r="G1155" s="1">
        <v>3.2</v>
      </c>
      <c r="H1155" s="34">
        <f>Tabela1[[#This Row],[PESO UNI]]*Tabela1[[#This Row],[QTE]]</f>
        <v>3.2</v>
      </c>
      <c r="I1155" s="7">
        <v>0</v>
      </c>
      <c r="J1155" s="8" t="s">
        <v>5529</v>
      </c>
      <c r="K1155" s="8" t="s">
        <v>4320</v>
      </c>
      <c r="L1155" s="9" t="s">
        <v>5530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0.8</v>
      </c>
      <c r="S1155" s="18">
        <f t="shared" si="254"/>
        <v>0</v>
      </c>
      <c r="T1155" s="19">
        <f t="shared" si="255"/>
        <v>-3.2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56"/>
        <v>-1</v>
      </c>
      <c r="Z1155" s="20">
        <f>Tabela1[[#This Row],[PESO TOTAL]]-Tabela1[[#This Row],[Peso Expedido]]</f>
        <v>3.2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5567</v>
      </c>
      <c r="B1156" s="21"/>
      <c r="C1156" s="1">
        <v>1</v>
      </c>
      <c r="D1156" s="1" t="s">
        <v>5575</v>
      </c>
      <c r="E1156" s="7">
        <v>4794</v>
      </c>
      <c r="F1156" s="7">
        <v>3</v>
      </c>
      <c r="G1156" s="1">
        <v>3.3</v>
      </c>
      <c r="H1156" s="34">
        <f>Tabela1[[#This Row],[PESO UNI]]*Tabela1[[#This Row],[QTE]]</f>
        <v>3.3</v>
      </c>
      <c r="I1156" s="7">
        <v>0</v>
      </c>
      <c r="J1156" s="8" t="s">
        <v>5529</v>
      </c>
      <c r="K1156" s="8" t="s">
        <v>4320</v>
      </c>
      <c r="L1156" s="9" t="s">
        <v>5530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0.82499999999999996</v>
      </c>
      <c r="S1156" s="18">
        <f t="shared" si="254"/>
        <v>0</v>
      </c>
      <c r="T1156" s="19">
        <f t="shared" si="255"/>
        <v>-3.3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56"/>
        <v>-1</v>
      </c>
      <c r="Z1156" s="20">
        <f>Tabela1[[#This Row],[PESO TOTAL]]-Tabela1[[#This Row],[Peso Expedido]]</f>
        <v>3.3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5567</v>
      </c>
      <c r="B1157" s="21"/>
      <c r="C1157" s="1">
        <v>1</v>
      </c>
      <c r="D1157" s="1" t="s">
        <v>5576</v>
      </c>
      <c r="E1157" s="7">
        <v>4795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5529</v>
      </c>
      <c r="K1157" s="8" t="s">
        <v>4320</v>
      </c>
      <c r="L1157" s="9" t="s">
        <v>5530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0.8</v>
      </c>
      <c r="S1157" s="18">
        <f t="shared" si="254"/>
        <v>0</v>
      </c>
      <c r="T1157" s="19">
        <f t="shared" si="255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56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5578</v>
      </c>
      <c r="B1158" s="21"/>
      <c r="C1158" s="1">
        <v>1</v>
      </c>
      <c r="D1158" s="1" t="s">
        <v>5579</v>
      </c>
      <c r="E1158" s="7">
        <v>4796</v>
      </c>
      <c r="F1158" s="7">
        <v>9</v>
      </c>
      <c r="G1158" s="1">
        <v>208.6</v>
      </c>
      <c r="H1158" s="34">
        <f>Tabela1[[#This Row],[PESO UNI]]*Tabela1[[#This Row],[QTE]]</f>
        <v>208.6</v>
      </c>
      <c r="I1158" s="7">
        <v>0</v>
      </c>
      <c r="J1158" s="8" t="s">
        <v>5255</v>
      </c>
      <c r="K1158" s="8" t="s">
        <v>4320</v>
      </c>
      <c r="L1158" s="9" t="s">
        <v>5256</v>
      </c>
      <c r="M1158" s="10">
        <v>46267</v>
      </c>
      <c r="N1158" s="8" t="s">
        <v>5577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52.15</v>
      </c>
      <c r="S1158" s="18">
        <f t="shared" si="254"/>
        <v>0</v>
      </c>
      <c r="T1158" s="19">
        <f t="shared" si="255"/>
        <v>-208.6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56"/>
        <v>-1</v>
      </c>
      <c r="Z1158" s="20">
        <f>Tabela1[[#This Row],[PESO TOTAL]]-Tabela1[[#This Row],[Peso Expedido]]</f>
        <v>208.6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5578</v>
      </c>
      <c r="B1159" s="21"/>
      <c r="C1159" s="1">
        <v>1</v>
      </c>
      <c r="D1159" s="1" t="s">
        <v>5580</v>
      </c>
      <c r="E1159" s="7">
        <v>4797</v>
      </c>
      <c r="F1159" s="7">
        <v>9</v>
      </c>
      <c r="G1159" s="1">
        <v>208.6</v>
      </c>
      <c r="H1159" s="34">
        <f>Tabela1[[#This Row],[PESO UNI]]*Tabela1[[#This Row],[QTE]]</f>
        <v>208.6</v>
      </c>
      <c r="I1159" s="7">
        <v>0</v>
      </c>
      <c r="J1159" s="8" t="s">
        <v>5255</v>
      </c>
      <c r="K1159" s="8" t="s">
        <v>4320</v>
      </c>
      <c r="L1159" s="9" t="s">
        <v>5256</v>
      </c>
      <c r="M1159" s="10">
        <v>46267</v>
      </c>
      <c r="N1159" s="8" t="s">
        <v>5577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52.15</v>
      </c>
      <c r="S1159" s="18">
        <f t="shared" si="254"/>
        <v>0</v>
      </c>
      <c r="T1159" s="19">
        <f t="shared" si="255"/>
        <v>-208.6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56"/>
        <v>-1</v>
      </c>
      <c r="Z1159" s="20">
        <f>Tabela1[[#This Row],[PESO TOTAL]]-Tabela1[[#This Row],[Peso Expedido]]</f>
        <v>208.6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5578</v>
      </c>
      <c r="B1160" s="21"/>
      <c r="C1160" s="1">
        <v>1</v>
      </c>
      <c r="D1160" s="1" t="s">
        <v>5581</v>
      </c>
      <c r="E1160" s="7">
        <v>4798</v>
      </c>
      <c r="F1160" s="7">
        <v>9</v>
      </c>
      <c r="G1160" s="1">
        <v>157.6</v>
      </c>
      <c r="H1160" s="34">
        <f>Tabela1[[#This Row],[PESO UNI]]*Tabela1[[#This Row],[QTE]]</f>
        <v>157.6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5577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39.4</v>
      </c>
      <c r="S1160" s="18">
        <f t="shared" si="254"/>
        <v>0</v>
      </c>
      <c r="T1160" s="19">
        <f t="shared" si="255"/>
        <v>-157.6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157.6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/>
      <c r="B1161" s="21"/>
      <c r="C1161" s="1"/>
      <c r="D1161" s="1" t="s">
        <v>5627</v>
      </c>
      <c r="E1161" s="7">
        <v>4844</v>
      </c>
      <c r="F1161" s="7">
        <v>1</v>
      </c>
      <c r="G1161" s="1"/>
      <c r="H1161" s="34"/>
      <c r="I1161" s="7"/>
      <c r="J1161" s="8" t="s">
        <v>5628</v>
      </c>
      <c r="K1161" s="8" t="s">
        <v>5629</v>
      </c>
      <c r="L1161" s="9" t="s">
        <v>5630</v>
      </c>
      <c r="M1161" s="10">
        <v>46262</v>
      </c>
      <c r="N1161" s="8" t="s">
        <v>38</v>
      </c>
      <c r="O1161" s="12"/>
      <c r="P1161" s="13"/>
      <c r="Q1161" s="14">
        <f>Tabela1[[#This Row],[QTDE/ Fabricação]]-Tabela1[[#This Row],[QTE]]</f>
        <v>0</v>
      </c>
      <c r="R1161" s="18">
        <f t="shared" ref="R1161:R1166" si="257">IFERROR(H1161*((AA1161*0.25)+(AC1161*0.25)+(AD1161*0.225)+(AE1161*0.225)+(AF1161*0.05)),"")</f>
        <v>0</v>
      </c>
      <c r="S1161" s="18">
        <f t="shared" ref="S1161:S1166" si="258">IFERROR(H1161*AG1161,"")</f>
        <v>0</v>
      </c>
      <c r="T1161" s="19">
        <f t="shared" ref="T1161:T1166" si="259">IFERROR(S1161-H1161,"")</f>
        <v>0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ref="Y1161:Y1166" si="260">U1161-C1161</f>
        <v>0</v>
      </c>
      <c r="Z1161" s="20">
        <f>Tabela1[[#This Row],[PESO TOTAL]]-Tabela1[[#This Row],[Peso Expedido]]</f>
        <v>0</v>
      </c>
      <c r="AA1161" s="17"/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5634</v>
      </c>
      <c r="B1162" s="21" t="s">
        <v>5635</v>
      </c>
      <c r="C1162" s="1">
        <v>1</v>
      </c>
      <c r="D1162" s="1" t="s">
        <v>5636</v>
      </c>
      <c r="E1162" s="7">
        <v>4845</v>
      </c>
      <c r="F1162" s="7">
        <v>66</v>
      </c>
      <c r="G1162" s="1">
        <v>498.4</v>
      </c>
      <c r="H1162" s="34">
        <f>Tabela1[[#This Row],[PESO UNI]]*Tabela1[[#This Row],[QTE]]</f>
        <v>498.4</v>
      </c>
      <c r="I1162" s="7">
        <v>0</v>
      </c>
      <c r="J1162" s="8" t="s">
        <v>3140</v>
      </c>
      <c r="K1162" s="8" t="s">
        <v>4320</v>
      </c>
      <c r="L1162" s="9" t="s">
        <v>2984</v>
      </c>
      <c r="M1162" s="10">
        <v>46273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7"/>
        <v>124.6</v>
      </c>
      <c r="S1162" s="18">
        <f t="shared" si="258"/>
        <v>0</v>
      </c>
      <c r="T1162" s="19">
        <f t="shared" si="259"/>
        <v>-498.4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60"/>
        <v>-1</v>
      </c>
      <c r="Z1162" s="20">
        <f>Tabela1[[#This Row],[PESO TOTAL]]-Tabela1[[#This Row],[Peso Expedido]]</f>
        <v>498.4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 t="s">
        <v>5634</v>
      </c>
      <c r="B1163" s="21" t="s">
        <v>5635</v>
      </c>
      <c r="C1163" s="1">
        <v>1</v>
      </c>
      <c r="D1163" s="1" t="s">
        <v>5637</v>
      </c>
      <c r="E1163" s="7">
        <v>4846</v>
      </c>
      <c r="F1163" s="7">
        <v>66</v>
      </c>
      <c r="G1163" s="1">
        <v>287.39999999999998</v>
      </c>
      <c r="H1163" s="34">
        <f>Tabela1[[#This Row],[PESO UNI]]*Tabela1[[#This Row],[QTE]]</f>
        <v>287.39999999999998</v>
      </c>
      <c r="I1163" s="7">
        <v>0</v>
      </c>
      <c r="J1163" s="8" t="s">
        <v>3140</v>
      </c>
      <c r="K1163" s="8" t="s">
        <v>4320</v>
      </c>
      <c r="L1163" s="9" t="s">
        <v>2984</v>
      </c>
      <c r="M1163" s="10">
        <v>46273</v>
      </c>
      <c r="N1163" s="8" t="s">
        <v>38</v>
      </c>
      <c r="O1163" s="12"/>
      <c r="P1163" s="13"/>
      <c r="Q1163" s="14">
        <f>Tabela1[[#This Row],[QTDE/ Fabricação]]-Tabela1[[#This Row],[QTE]]</f>
        <v>-1</v>
      </c>
      <c r="R1163" s="18">
        <f t="shared" si="257"/>
        <v>71.849999999999994</v>
      </c>
      <c r="S1163" s="18">
        <f t="shared" si="258"/>
        <v>0</v>
      </c>
      <c r="T1163" s="19">
        <f t="shared" si="259"/>
        <v>-287.39999999999998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si="260"/>
        <v>-1</v>
      </c>
      <c r="Z1163" s="20">
        <f>Tabela1[[#This Row],[PESO TOTAL]]-Tabela1[[#This Row],[Peso Expedido]]</f>
        <v>287.39999999999998</v>
      </c>
      <c r="AA1163" s="17">
        <v>1</v>
      </c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5634</v>
      </c>
      <c r="B1164" s="21" t="s">
        <v>5635</v>
      </c>
      <c r="C1164" s="1">
        <v>1</v>
      </c>
      <c r="D1164" s="1" t="s">
        <v>5638</v>
      </c>
      <c r="E1164" s="7">
        <v>4847</v>
      </c>
      <c r="F1164" s="7">
        <v>66</v>
      </c>
      <c r="G1164" s="1">
        <v>190</v>
      </c>
      <c r="H1164" s="34">
        <f>Tabela1[[#This Row],[PESO UNI]]*Tabela1[[#This Row],[QTE]]</f>
        <v>190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47.5</v>
      </c>
      <c r="S1164" s="18">
        <f t="shared" si="258"/>
        <v>0</v>
      </c>
      <c r="T1164" s="19">
        <f t="shared" si="259"/>
        <v>-190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190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5634</v>
      </c>
      <c r="B1165" s="21" t="s">
        <v>5635</v>
      </c>
      <c r="C1165" s="1">
        <v>1</v>
      </c>
      <c r="D1165" s="1" t="s">
        <v>5639</v>
      </c>
      <c r="E1165" s="7">
        <v>4848</v>
      </c>
      <c r="F1165" s="7">
        <v>66</v>
      </c>
      <c r="G1165" s="1">
        <v>14.5</v>
      </c>
      <c r="H1165" s="34">
        <f>Tabela1[[#This Row],[PESO UNI]]*Tabela1[[#This Row],[QTE]]</f>
        <v>14.5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3.625</v>
      </c>
      <c r="S1165" s="18">
        <f t="shared" si="258"/>
        <v>0</v>
      </c>
      <c r="T1165" s="19">
        <f t="shared" si="259"/>
        <v>-14.5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14.5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5640</v>
      </c>
      <c r="B1166" s="21" t="s">
        <v>5641</v>
      </c>
      <c r="C1166" s="1">
        <v>1</v>
      </c>
      <c r="D1166" s="1" t="s">
        <v>5642</v>
      </c>
      <c r="E1166" s="7">
        <v>4849</v>
      </c>
      <c r="F1166" s="7">
        <v>67</v>
      </c>
      <c r="G1166" s="1">
        <v>106.3</v>
      </c>
      <c r="H1166" s="34">
        <f>Tabela1[[#This Row],[PESO UNI]]*Tabela1[[#This Row],[QTE]]</f>
        <v>106.3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46274</v>
      </c>
      <c r="N1166" s="8" t="s">
        <v>5105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26.574999999999999</v>
      </c>
      <c r="S1166" s="18">
        <f t="shared" si="258"/>
        <v>0</v>
      </c>
      <c r="T1166" s="19">
        <f t="shared" si="259"/>
        <v>-106.3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106.3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5640</v>
      </c>
      <c r="B1167" s="21" t="s">
        <v>5641</v>
      </c>
      <c r="C1167" s="1">
        <v>1</v>
      </c>
      <c r="D1167" s="1" t="s">
        <v>5643</v>
      </c>
      <c r="E1167" s="7">
        <v>4850</v>
      </c>
      <c r="F1167" s="7">
        <v>67</v>
      </c>
      <c r="G1167" s="1">
        <v>105.5</v>
      </c>
      <c r="H1167" s="34">
        <f>Tabela1[[#This Row],[PESO UNI]]*Tabela1[[#This Row],[QTE]]</f>
        <v>105.5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46274</v>
      </c>
      <c r="N1167" s="8" t="s">
        <v>5105</v>
      </c>
      <c r="O1167" s="12"/>
      <c r="P1167" s="13"/>
      <c r="Q1167" s="14">
        <f>Tabela1[[#This Row],[QTDE/ Fabricação]]-Tabela1[[#This Row],[QTE]]</f>
        <v>-1</v>
      </c>
      <c r="R1167" s="18">
        <f t="shared" ref="R1167:R1177" si="261">IFERROR(H1167*((AA1167*0.25)+(AC1167*0.25)+(AD1167*0.225)+(AE1167*0.225)+(AF1167*0.05)),"")</f>
        <v>26.375</v>
      </c>
      <c r="S1167" s="18">
        <f t="shared" ref="S1167:S1177" si="262">IFERROR(H1167*AG1167,"")</f>
        <v>0</v>
      </c>
      <c r="T1167" s="19">
        <f t="shared" ref="T1167:T1177" si="263">IFERROR(S1167-H1167,"")</f>
        <v>-105.5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ref="Y1167:Y1177" si="264">U1167-C1167</f>
        <v>-1</v>
      </c>
      <c r="Z1167" s="20">
        <f>Tabela1[[#This Row],[PESO TOTAL]]-Tabela1[[#This Row],[Peso Expedido]]</f>
        <v>105.5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1" t="s">
        <v>5646</v>
      </c>
      <c r="B1168" s="21" t="s">
        <v>5647</v>
      </c>
      <c r="C1168" s="1">
        <v>6</v>
      </c>
      <c r="D1168" s="1" t="s">
        <v>5648</v>
      </c>
      <c r="E1168" s="7">
        <v>4851</v>
      </c>
      <c r="F1168" s="7">
        <v>68</v>
      </c>
      <c r="G1168" s="1">
        <v>1.1000000000000001</v>
      </c>
      <c r="H1168" s="34">
        <f>Tabela1[[#This Row],[PESO UNI]]*Tabela1[[#This Row],[QTE]]</f>
        <v>6.6000000000000005</v>
      </c>
      <c r="I1168" s="7">
        <v>0</v>
      </c>
      <c r="J1168" s="8" t="s">
        <v>3140</v>
      </c>
      <c r="K1168" s="8" t="s">
        <v>4320</v>
      </c>
      <c r="L1168" s="9" t="s">
        <v>2984</v>
      </c>
      <c r="M1168" s="10">
        <v>46274</v>
      </c>
      <c r="N1168" s="8" t="s">
        <v>5105</v>
      </c>
      <c r="O1168" s="12"/>
      <c r="P1168" s="13"/>
      <c r="Q1168" s="14">
        <f>Tabela1[[#This Row],[QTDE/ Fabricação]]-Tabela1[[#This Row],[QTE]]</f>
        <v>-6</v>
      </c>
      <c r="R1168" s="18">
        <f t="shared" si="261"/>
        <v>1.6500000000000001</v>
      </c>
      <c r="S1168" s="18">
        <f t="shared" si="262"/>
        <v>0</v>
      </c>
      <c r="T1168" s="19">
        <f t="shared" si="263"/>
        <v>-6.6000000000000005</v>
      </c>
      <c r="U1168" s="16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IFERROR(VLOOKUP(Tabela1[[#This Row],[COD.MDE]],'LISTA DE EMBARQUE'!B:M,12,0),"")</f>
        <v/>
      </c>
      <c r="X1168" s="14">
        <f>IFERROR(Tabela1[[#This Row],[QIANTIDADE EXPEDIDA]]*Tabela1[[#This Row],[PESO UNI]],"")</f>
        <v>0</v>
      </c>
      <c r="Y1168" s="14">
        <f t="shared" si="264"/>
        <v>-6</v>
      </c>
      <c r="Z1168" s="20">
        <f>Tabela1[[#This Row],[PESO TOTAL]]-Tabela1[[#This Row],[Peso Expedido]]</f>
        <v>6.6000000000000005</v>
      </c>
      <c r="AA1168" s="17">
        <v>1</v>
      </c>
      <c r="AB1168" s="33"/>
      <c r="AC1168" s="33"/>
      <c r="AD1168" s="33"/>
      <c r="AE1168" s="33"/>
      <c r="AF1168" s="33"/>
      <c r="AG1168" s="33"/>
      <c r="AH1168" s="33"/>
      <c r="AI1168" s="33"/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5646</v>
      </c>
      <c r="B1169" s="21" t="s">
        <v>5647</v>
      </c>
      <c r="C1169" s="1">
        <v>6</v>
      </c>
      <c r="D1169" s="1" t="s">
        <v>5649</v>
      </c>
      <c r="E1169" s="7">
        <v>4852</v>
      </c>
      <c r="F1169" s="7">
        <v>68</v>
      </c>
      <c r="G1169" s="1">
        <v>8.1999999999999993</v>
      </c>
      <c r="H1169" s="34">
        <f>Tabela1[[#This Row],[PESO UNI]]*Tabela1[[#This Row],[QTE]]</f>
        <v>49.199999999999996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5105</v>
      </c>
      <c r="O1169" s="12"/>
      <c r="P1169" s="13"/>
      <c r="Q1169" s="14">
        <f>Tabela1[[#This Row],[QTDE/ Fabricação]]-Tabela1[[#This Row],[QTE]]</f>
        <v>-6</v>
      </c>
      <c r="R1169" s="18">
        <f t="shared" si="261"/>
        <v>12.299999999999999</v>
      </c>
      <c r="S1169" s="18">
        <f t="shared" si="262"/>
        <v>0</v>
      </c>
      <c r="T1169" s="19">
        <f t="shared" si="263"/>
        <v>-49.199999999999996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si="264"/>
        <v>-6</v>
      </c>
      <c r="Z1169" s="20">
        <f>Tabela1[[#This Row],[PESO TOTAL]]-Tabela1[[#This Row],[Peso Expedido]]</f>
        <v>49.199999999999996</v>
      </c>
      <c r="AA1169" s="17">
        <v>1</v>
      </c>
      <c r="AB1169" s="33"/>
      <c r="AC1169" s="33"/>
      <c r="AD1169" s="33"/>
      <c r="AE1169" s="33"/>
      <c r="AF1169" s="33"/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5646</v>
      </c>
      <c r="B1170" s="21" t="s">
        <v>5647</v>
      </c>
      <c r="C1170" s="1">
        <v>4</v>
      </c>
      <c r="D1170" s="1" t="s">
        <v>5650</v>
      </c>
      <c r="E1170" s="7">
        <v>4853</v>
      </c>
      <c r="F1170" s="7">
        <v>68</v>
      </c>
      <c r="G1170" s="1">
        <v>50.9</v>
      </c>
      <c r="H1170" s="34">
        <f>Tabela1[[#This Row],[PESO UNI]]*Tabela1[[#This Row],[QTE]]</f>
        <v>203.6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-4</v>
      </c>
      <c r="R1170" s="18">
        <f t="shared" si="261"/>
        <v>50.9</v>
      </c>
      <c r="S1170" s="18">
        <f t="shared" si="262"/>
        <v>0</v>
      </c>
      <c r="T1170" s="19">
        <f t="shared" si="263"/>
        <v>-203.6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-4</v>
      </c>
      <c r="Z1170" s="20">
        <f>Tabela1[[#This Row],[PESO TOTAL]]-Tabela1[[#This Row],[Peso Expedido]]</f>
        <v>203.6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5646</v>
      </c>
      <c r="B1171" s="21" t="s">
        <v>5647</v>
      </c>
      <c r="C1171" s="1">
        <v>4</v>
      </c>
      <c r="D1171" s="1" t="s">
        <v>5651</v>
      </c>
      <c r="E1171" s="7">
        <v>4854</v>
      </c>
      <c r="F1171" s="7">
        <v>68</v>
      </c>
      <c r="G1171" s="1">
        <v>4.2</v>
      </c>
      <c r="H1171" s="34">
        <f>Tabela1[[#This Row],[PESO UNI]]*Tabela1[[#This Row],[QTE]]</f>
        <v>16.8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-4</v>
      </c>
      <c r="R1171" s="18">
        <f t="shared" si="261"/>
        <v>4.2</v>
      </c>
      <c r="S1171" s="18">
        <f t="shared" si="262"/>
        <v>0</v>
      </c>
      <c r="T1171" s="19">
        <f t="shared" si="263"/>
        <v>-16.8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-4</v>
      </c>
      <c r="Z1171" s="20">
        <f>Tabela1[[#This Row],[PESO TOTAL]]-Tabela1[[#This Row],[Peso Expedido]]</f>
        <v>16.8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5646</v>
      </c>
      <c r="B1172" s="21" t="s">
        <v>5647</v>
      </c>
      <c r="C1172" s="1">
        <v>4</v>
      </c>
      <c r="D1172" s="1" t="s">
        <v>5652</v>
      </c>
      <c r="E1172" s="7">
        <v>4855</v>
      </c>
      <c r="F1172" s="7">
        <v>68</v>
      </c>
      <c r="G1172" s="1">
        <v>3.8</v>
      </c>
      <c r="H1172" s="34">
        <f>Tabela1[[#This Row],[PESO UNI]]*Tabela1[[#This Row],[QTE]]</f>
        <v>15.2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3.8</v>
      </c>
      <c r="S1172" s="18">
        <f t="shared" si="262"/>
        <v>0</v>
      </c>
      <c r="T1172" s="19">
        <f t="shared" si="263"/>
        <v>-15.2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15.2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5646</v>
      </c>
      <c r="B1173" s="21" t="s">
        <v>5647</v>
      </c>
      <c r="C1173" s="1">
        <v>22</v>
      </c>
      <c r="D1173" s="1" t="s">
        <v>5653</v>
      </c>
      <c r="E1173" s="7">
        <v>4856</v>
      </c>
      <c r="F1173" s="7">
        <v>68</v>
      </c>
      <c r="G1173" s="1">
        <v>7.7</v>
      </c>
      <c r="H1173" s="34">
        <f>Tabela1[[#This Row],[PESO UNI]]*Tabela1[[#This Row],[QTE]]</f>
        <v>169.4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-22</v>
      </c>
      <c r="R1173" s="18">
        <f t="shared" si="261"/>
        <v>42.35</v>
      </c>
      <c r="S1173" s="18">
        <f t="shared" si="262"/>
        <v>0</v>
      </c>
      <c r="T1173" s="19">
        <f t="shared" si="263"/>
        <v>-169.4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-22</v>
      </c>
      <c r="Z1173" s="20">
        <f>Tabela1[[#This Row],[PESO TOTAL]]-Tabela1[[#This Row],[Peso Expedido]]</f>
        <v>169.4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5646</v>
      </c>
      <c r="B1174" s="21" t="s">
        <v>5647</v>
      </c>
      <c r="C1174" s="1">
        <v>1</v>
      </c>
      <c r="D1174" s="1" t="s">
        <v>5654</v>
      </c>
      <c r="E1174" s="7">
        <v>4857</v>
      </c>
      <c r="F1174" s="7">
        <v>68</v>
      </c>
      <c r="G1174" s="1">
        <v>15.1</v>
      </c>
      <c r="H1174" s="34">
        <f>Tabela1[[#This Row],[PESO UNI]]*Tabela1[[#This Row],[QTE]]</f>
        <v>15.1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-1</v>
      </c>
      <c r="R1174" s="18">
        <f t="shared" si="261"/>
        <v>3.7749999999999999</v>
      </c>
      <c r="S1174" s="18">
        <f t="shared" si="262"/>
        <v>0</v>
      </c>
      <c r="T1174" s="19">
        <f t="shared" si="263"/>
        <v>-15.1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-1</v>
      </c>
      <c r="Z1174" s="20">
        <f>Tabela1[[#This Row],[PESO TOTAL]]-Tabela1[[#This Row],[Peso Expedido]]</f>
        <v>15.1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5646</v>
      </c>
      <c r="B1175" s="21" t="s">
        <v>5647</v>
      </c>
      <c r="C1175" s="1">
        <v>1</v>
      </c>
      <c r="D1175" s="1" t="s">
        <v>5655</v>
      </c>
      <c r="E1175" s="7">
        <v>4858</v>
      </c>
      <c r="F1175" s="7">
        <v>68</v>
      </c>
      <c r="G1175" s="1">
        <v>2.2000000000000002</v>
      </c>
      <c r="H1175" s="34">
        <f>Tabela1[[#This Row],[PESO UNI]]*Tabela1[[#This Row],[QTE]]</f>
        <v>2.2000000000000002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-1</v>
      </c>
      <c r="R1175" s="18">
        <f t="shared" si="261"/>
        <v>0.55000000000000004</v>
      </c>
      <c r="S1175" s="18">
        <f t="shared" si="262"/>
        <v>0</v>
      </c>
      <c r="T1175" s="19">
        <f t="shared" si="263"/>
        <v>-2.2000000000000002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-1</v>
      </c>
      <c r="Z1175" s="20">
        <f>Tabela1[[#This Row],[PESO TOTAL]]-Tabela1[[#This Row],[Peso Expedido]]</f>
        <v>2.2000000000000002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5646</v>
      </c>
      <c r="B1176" s="21" t="s">
        <v>5647</v>
      </c>
      <c r="C1176" s="1">
        <v>1</v>
      </c>
      <c r="D1176" s="1" t="s">
        <v>5656</v>
      </c>
      <c r="E1176" s="7">
        <v>4859</v>
      </c>
      <c r="F1176" s="7">
        <v>68</v>
      </c>
      <c r="G1176" s="1">
        <v>11.1</v>
      </c>
      <c r="H1176" s="34">
        <f>Tabela1[[#This Row],[PESO UNI]]*Tabela1[[#This Row],[QTE]]</f>
        <v>11.1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2.7749999999999999</v>
      </c>
      <c r="S1176" s="18">
        <f t="shared" si="262"/>
        <v>0</v>
      </c>
      <c r="T1176" s="19">
        <f t="shared" si="263"/>
        <v>-11.1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11.1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5646</v>
      </c>
      <c r="B1177" s="21" t="s">
        <v>5647</v>
      </c>
      <c r="C1177" s="1">
        <v>2</v>
      </c>
      <c r="D1177" s="1" t="s">
        <v>5657</v>
      </c>
      <c r="E1177" s="7">
        <v>4860</v>
      </c>
      <c r="F1177" s="7">
        <v>68</v>
      </c>
      <c r="G1177" s="1">
        <v>8.1999999999999993</v>
      </c>
      <c r="H1177" s="34">
        <f>Tabela1[[#This Row],[PESO UNI]]*Tabela1[[#This Row],[QTE]]</f>
        <v>16.399999999999999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-2</v>
      </c>
      <c r="R1177" s="18">
        <f t="shared" si="261"/>
        <v>4.0999999999999996</v>
      </c>
      <c r="S1177" s="18">
        <f t="shared" si="262"/>
        <v>0</v>
      </c>
      <c r="T1177" s="19">
        <f t="shared" si="263"/>
        <v>-16.399999999999999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-2</v>
      </c>
      <c r="Z1177" s="20">
        <f>Tabela1[[#This Row],[PESO TOTAL]]-Tabela1[[#This Row],[Peso Expedido]]</f>
        <v>16.399999999999999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5646</v>
      </c>
      <c r="B1178" s="21" t="s">
        <v>5647</v>
      </c>
      <c r="C1178" s="1">
        <v>2</v>
      </c>
      <c r="D1178" s="1" t="s">
        <v>5658</v>
      </c>
      <c r="E1178" s="7">
        <v>4861</v>
      </c>
      <c r="F1178" s="7">
        <v>68</v>
      </c>
      <c r="G1178" s="1">
        <v>1.9</v>
      </c>
      <c r="H1178" s="34">
        <f>Tabela1[[#This Row],[PESO UNI]]*Tabela1[[#This Row],[QTE]]</f>
        <v>3.8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-2</v>
      </c>
      <c r="R1178" s="18">
        <f>IFERROR(H1178*((AA1178*0.25)+(AC1178*0.25)+(AD1178*0.225)+(AE1178*0.225)+(AF1178*0.05)),"")</f>
        <v>0.95</v>
      </c>
      <c r="S1178" s="18">
        <f>IFERROR(H1178*AG1178,"")</f>
        <v>0</v>
      </c>
      <c r="T1178" s="19">
        <f>IFERROR(S1178-H1178,"")</f>
        <v>-3.8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>U1178-C1178</f>
        <v>-2</v>
      </c>
      <c r="Z1178" s="20">
        <f>Tabela1[[#This Row],[PESO TOTAL]]-Tabela1[[#This Row],[Peso Expedido]]</f>
        <v>3.8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/>
      <c r="B1179" s="21"/>
      <c r="C1179" s="1"/>
      <c r="D1179" s="1" t="s">
        <v>5659</v>
      </c>
      <c r="E1179" s="7">
        <v>4862</v>
      </c>
      <c r="F1179" s="7">
        <v>1</v>
      </c>
      <c r="G1179" s="1"/>
      <c r="H1179" s="34"/>
      <c r="I1179" s="7"/>
      <c r="J1179" s="8" t="s">
        <v>5660</v>
      </c>
      <c r="K1179" s="8" t="s">
        <v>45</v>
      </c>
      <c r="L1179" s="9" t="s">
        <v>5661</v>
      </c>
      <c r="M1179" s="10">
        <v>46238</v>
      </c>
      <c r="N1179" s="8" t="s">
        <v>38</v>
      </c>
      <c r="O1179" s="12"/>
      <c r="P1179" s="13"/>
      <c r="Q1179" s="14">
        <f>Tabela1[[#This Row],[QTDE/ Fabricação]]-Tabela1[[#This Row],[QTE]]</f>
        <v>0</v>
      </c>
      <c r="R1179" s="18">
        <f t="shared" ref="R1179" si="265">IFERROR(H1179*((AA1179*0.25)+(AC1179*0.25)+(AD1179*0.225)+(AE1179*0.225)+(AF1179*0.05)),"")</f>
        <v>0</v>
      </c>
      <c r="S1179" s="18">
        <f t="shared" ref="S1179" si="266">IFERROR(H1179*AG1179,"")</f>
        <v>0</v>
      </c>
      <c r="T1179" s="19">
        <f t="shared" ref="T1179" si="267">IFERROR(S1179-H1179,"")</f>
        <v>0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ref="Y1179" si="268">U1179-C1179</f>
        <v>0</v>
      </c>
      <c r="Z1179" s="20">
        <f>Tabela1[[#This Row],[PESO TOTAL]]-Tabela1[[#This Row],[Peso Expedido]]</f>
        <v>0</v>
      </c>
      <c r="AA1179" s="17"/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5672</v>
      </c>
      <c r="B1180" s="21" t="s">
        <v>5673</v>
      </c>
      <c r="C1180" s="1">
        <v>1</v>
      </c>
      <c r="D1180" s="1" t="s">
        <v>5674</v>
      </c>
      <c r="E1180" s="7">
        <v>4863</v>
      </c>
      <c r="F1180" s="7">
        <v>7</v>
      </c>
      <c r="G1180" s="1">
        <v>15.9</v>
      </c>
      <c r="H1180" s="34">
        <f>Tabela1[[#This Row],[PESO UNI]]*Tabela1[[#This Row],[QTE]]</f>
        <v>15.9</v>
      </c>
      <c r="I1180" s="7">
        <v>0</v>
      </c>
      <c r="J1180" s="8" t="s">
        <v>5529</v>
      </c>
      <c r="K1180" s="8" t="s">
        <v>4320</v>
      </c>
      <c r="L1180" s="9" t="s">
        <v>5530</v>
      </c>
      <c r="M1180" s="10">
        <v>46275</v>
      </c>
      <c r="N1180" s="8" t="s">
        <v>5105</v>
      </c>
      <c r="O1180" s="12"/>
      <c r="P1180" s="13"/>
      <c r="Q1180" s="14">
        <f>Tabela1[[#This Row],[QTDE/ Fabricação]]-Tabela1[[#This Row],[QTE]]</f>
        <v>-1</v>
      </c>
      <c r="R1180" s="18">
        <f>IFERROR(H1180*((AA1180*0.25)+(AC1180*0.25)+(AD1180*0.225)+(AE1180*0.225)+(AF1180*0.05)),"")</f>
        <v>3.9750000000000001</v>
      </c>
      <c r="S1180" s="18">
        <f>IFERROR(H1180*AG1180,"")</f>
        <v>0</v>
      </c>
      <c r="T1180" s="19">
        <f>IFERROR(S1180-H1180,"")</f>
        <v>-15.9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-1</v>
      </c>
      <c r="Z1180" s="20">
        <f>Tabela1[[#This Row],[PESO TOTAL]]-Tabela1[[#This Row],[Peso Expedido]]</f>
        <v>15.9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 t="s">
        <v>5672</v>
      </c>
      <c r="B1181" s="21" t="s">
        <v>5673</v>
      </c>
      <c r="C1181" s="1">
        <v>1</v>
      </c>
      <c r="D1181" s="1" t="s">
        <v>5675</v>
      </c>
      <c r="E1181" s="7">
        <v>4864</v>
      </c>
      <c r="F1181" s="7">
        <v>7</v>
      </c>
      <c r="G1181" s="1">
        <v>15.7</v>
      </c>
      <c r="H1181" s="34">
        <f>Tabela1[[#This Row],[PESO UNI]]*Tabela1[[#This Row],[QTE]]</f>
        <v>15.7</v>
      </c>
      <c r="I1181" s="7">
        <v>0</v>
      </c>
      <c r="J1181" s="8" t="s">
        <v>5529</v>
      </c>
      <c r="K1181" s="8" t="s">
        <v>4320</v>
      </c>
      <c r="L1181" s="9" t="s">
        <v>5530</v>
      </c>
      <c r="M1181" s="10">
        <v>46275</v>
      </c>
      <c r="N1181" s="8" t="s">
        <v>5105</v>
      </c>
      <c r="O1181" s="12"/>
      <c r="P1181" s="13"/>
      <c r="Q1181" s="14">
        <f>Tabela1[[#This Row],[QTDE/ Fabricação]]-Tabela1[[#This Row],[QTE]]</f>
        <v>-1</v>
      </c>
      <c r="R1181" s="18">
        <f>IFERROR(H1181*((AA1181*0.25)+(AC1181*0.25)+(AD1181*0.225)+(AE1181*0.225)+(AF1181*0.05)),"")</f>
        <v>3.9249999999999998</v>
      </c>
      <c r="S1181" s="18">
        <f>IFERROR(H1181*AG1181,"")</f>
        <v>0</v>
      </c>
      <c r="T1181" s="19">
        <f>IFERROR(S1181-H1181,"")</f>
        <v>-15.7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>U1181-C1181</f>
        <v>-1</v>
      </c>
      <c r="Z1181" s="20">
        <f>Tabela1[[#This Row],[PESO TOTAL]]-Tabela1[[#This Row],[Peso Expedido]]</f>
        <v>15.7</v>
      </c>
      <c r="AA1181" s="17">
        <v>1</v>
      </c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customHeight="1" x14ac:dyDescent="0.25">
      <c r="A1182" s="1" t="s">
        <v>5672</v>
      </c>
      <c r="B1182" s="21" t="s">
        <v>5673</v>
      </c>
      <c r="C1182" s="1">
        <v>2</v>
      </c>
      <c r="D1182" s="1" t="s">
        <v>5676</v>
      </c>
      <c r="E1182" s="7">
        <v>4865</v>
      </c>
      <c r="F1182" s="7">
        <v>7</v>
      </c>
      <c r="G1182" s="1">
        <v>6.7</v>
      </c>
      <c r="H1182" s="34">
        <f>Tabela1[[#This Row],[PESO UNI]]*Tabela1[[#This Row],[QTE]]</f>
        <v>13.4</v>
      </c>
      <c r="I1182" s="7">
        <v>0</v>
      </c>
      <c r="J1182" s="8" t="s">
        <v>5529</v>
      </c>
      <c r="K1182" s="8" t="s">
        <v>4320</v>
      </c>
      <c r="L1182" s="9" t="s">
        <v>5530</v>
      </c>
      <c r="M1182" s="10">
        <v>46275</v>
      </c>
      <c r="N1182" s="8" t="s">
        <v>5105</v>
      </c>
      <c r="O1182" s="12"/>
      <c r="P1182" s="13"/>
      <c r="Q1182" s="14">
        <f>Tabela1[[#This Row],[QTDE/ Fabricação]]-Tabela1[[#This Row],[QTE]]</f>
        <v>-2</v>
      </c>
      <c r="R1182" s="18">
        <f>IFERROR(H1182*((AA1182*0.25)+(AC1182*0.25)+(AD1182*0.225)+(AE1182*0.225)+(AF1182*0.05)),"")</f>
        <v>3.35</v>
      </c>
      <c r="S1182" s="18">
        <f>IFERROR(H1182*AG1182,"")</f>
        <v>0</v>
      </c>
      <c r="T1182" s="19">
        <f>IFERROR(S1182-H1182,"")</f>
        <v>-13.4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>U1182-C1182</f>
        <v>-2</v>
      </c>
      <c r="Z1182" s="20">
        <f>Tabela1[[#This Row],[PESO TOTAL]]-Tabela1[[#This Row],[Peso Expedido]]</f>
        <v>13.4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customHeight="1" x14ac:dyDescent="0.25">
      <c r="A1183" s="1" t="s">
        <v>5672</v>
      </c>
      <c r="B1183" s="21" t="s">
        <v>5673</v>
      </c>
      <c r="C1183" s="1">
        <v>1</v>
      </c>
      <c r="D1183" s="1" t="s">
        <v>5677</v>
      </c>
      <c r="E1183" s="7">
        <v>4866</v>
      </c>
      <c r="F1183" s="7">
        <v>7</v>
      </c>
      <c r="G1183" s="1">
        <v>12.5</v>
      </c>
      <c r="H1183" s="34">
        <f>Tabela1[[#This Row],[PESO UNI]]*Tabela1[[#This Row],[QTE]]</f>
        <v>12.5</v>
      </c>
      <c r="I1183" s="7">
        <v>0</v>
      </c>
      <c r="J1183" s="8" t="s">
        <v>5529</v>
      </c>
      <c r="K1183" s="8" t="s">
        <v>4320</v>
      </c>
      <c r="L1183" s="9" t="s">
        <v>5530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>IFERROR(H1183*((AA1183*0.25)+(AC1183*0.25)+(AD1183*0.225)+(AE1183*0.225)+(AF1183*0.05)),"")</f>
        <v>3.125</v>
      </c>
      <c r="S1183" s="18">
        <f>IFERROR(H1183*AG1183,"")</f>
        <v>0</v>
      </c>
      <c r="T1183" s="19">
        <f>IFERROR(S1183-H1183,"")</f>
        <v>-12.5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>U1183-C1183</f>
        <v>-1</v>
      </c>
      <c r="Z1183" s="20">
        <f>Tabela1[[#This Row],[PESO TOTAL]]-Tabela1[[#This Row],[Peso Expedido]]</f>
        <v>12.5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customHeight="1" x14ac:dyDescent="0.25">
      <c r="A1184" s="1" t="s">
        <v>5672</v>
      </c>
      <c r="B1184" s="21" t="s">
        <v>5673</v>
      </c>
      <c r="C1184" s="1">
        <v>1</v>
      </c>
      <c r="D1184" s="1" t="s">
        <v>5678</v>
      </c>
      <c r="E1184" s="7">
        <v>4867</v>
      </c>
      <c r="F1184" s="7">
        <v>7</v>
      </c>
      <c r="G1184" s="1">
        <v>14.5</v>
      </c>
      <c r="H1184" s="34">
        <f>Tabela1[[#This Row],[PESO UNI]]*Tabela1[[#This Row],[QTE]]</f>
        <v>14.5</v>
      </c>
      <c r="I1184" s="7">
        <v>0</v>
      </c>
      <c r="J1184" s="8" t="s">
        <v>5529</v>
      </c>
      <c r="K1184" s="8" t="s">
        <v>4320</v>
      </c>
      <c r="L1184" s="9" t="s">
        <v>5530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-1</v>
      </c>
      <c r="R1184" s="18">
        <f>IFERROR(H1184*((AA1184*0.25)+(AC1184*0.25)+(AD1184*0.225)+(AE1184*0.225)+(AF1184*0.05)),"")</f>
        <v>3.625</v>
      </c>
      <c r="S1184" s="18">
        <f>IFERROR(H1184*AG1184,"")</f>
        <v>0</v>
      </c>
      <c r="T1184" s="19">
        <f>IFERROR(S1184-H1184,"")</f>
        <v>-14.5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>U1184-C1184</f>
        <v>-1</v>
      </c>
      <c r="Z1184" s="20">
        <f>Tabela1[[#This Row],[PESO TOTAL]]-Tabela1[[#This Row],[Peso Expedido]]</f>
        <v>14.5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customHeight="1" x14ac:dyDescent="0.25">
      <c r="A1185" s="1" t="s">
        <v>5672</v>
      </c>
      <c r="B1185" s="21" t="s">
        <v>5673</v>
      </c>
      <c r="C1185" s="1">
        <v>1</v>
      </c>
      <c r="D1185" s="1" t="s">
        <v>5679</v>
      </c>
      <c r="E1185" s="7">
        <v>4868</v>
      </c>
      <c r="F1185" s="7">
        <v>7</v>
      </c>
      <c r="G1185" s="1">
        <v>14.7</v>
      </c>
      <c r="H1185" s="34">
        <f>Tabela1[[#This Row],[PESO UNI]]*Tabela1[[#This Row],[QTE]]</f>
        <v>14.7</v>
      </c>
      <c r="I1185" s="7">
        <v>0</v>
      </c>
      <c r="J1185" s="8" t="s">
        <v>5529</v>
      </c>
      <c r="K1185" s="8" t="s">
        <v>4320</v>
      </c>
      <c r="L1185" s="9" t="s">
        <v>5530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-1</v>
      </c>
      <c r="R1185" s="18">
        <f>IFERROR(H1185*((AA1185*0.25)+(AC1185*0.25)+(AD1185*0.225)+(AE1185*0.225)+(AF1185*0.05)),"")</f>
        <v>3.6749999999999998</v>
      </c>
      <c r="S1185" s="18">
        <f>IFERROR(H1185*AG1185,"")</f>
        <v>0</v>
      </c>
      <c r="T1185" s="19">
        <f>IFERROR(S1185-H1185,"")</f>
        <v>-14.7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>U1185-C1185</f>
        <v>-1</v>
      </c>
      <c r="Z1185" s="20">
        <f>Tabela1[[#This Row],[PESO TOTAL]]-Tabela1[[#This Row],[Peso Expedido]]</f>
        <v>14.7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customHeight="1" x14ac:dyDescent="0.25">
      <c r="A1186" s="1" t="s">
        <v>5672</v>
      </c>
      <c r="B1186" s="21" t="s">
        <v>5673</v>
      </c>
      <c r="C1186" s="1">
        <v>1</v>
      </c>
      <c r="D1186" s="1" t="s">
        <v>5680</v>
      </c>
      <c r="E1186" s="7">
        <v>4869</v>
      </c>
      <c r="F1186" s="7">
        <v>7</v>
      </c>
      <c r="G1186" s="1">
        <v>12.3</v>
      </c>
      <c r="H1186" s="34">
        <f>Tabela1[[#This Row],[PESO UNI]]*Tabela1[[#This Row],[QTE]]</f>
        <v>12.3</v>
      </c>
      <c r="I1186" s="7">
        <v>0</v>
      </c>
      <c r="J1186" s="8" t="s">
        <v>5529</v>
      </c>
      <c r="K1186" s="8" t="s">
        <v>4320</v>
      </c>
      <c r="L1186" s="9" t="s">
        <v>5530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>IFERROR(H1186*((AA1186*0.25)+(AC1186*0.25)+(AD1186*0.225)+(AE1186*0.225)+(AF1186*0.05)),"")</f>
        <v>3.0750000000000002</v>
      </c>
      <c r="S1186" s="18">
        <f>IFERROR(H1186*AG1186,"")</f>
        <v>0</v>
      </c>
      <c r="T1186" s="19">
        <f>IFERROR(S1186-H1186,"")</f>
        <v>-12.3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>U1186-C1186</f>
        <v>-1</v>
      </c>
      <c r="Z1186" s="20">
        <f>Tabela1[[#This Row],[PESO TOTAL]]-Tabela1[[#This Row],[Peso Expedido]]</f>
        <v>12.3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customHeight="1" x14ac:dyDescent="0.25">
      <c r="A1187" s="1" t="s">
        <v>5672</v>
      </c>
      <c r="B1187" s="21" t="s">
        <v>5673</v>
      </c>
      <c r="C1187" s="1">
        <v>1</v>
      </c>
      <c r="D1187" s="1" t="s">
        <v>5681</v>
      </c>
      <c r="E1187" s="7">
        <v>4870</v>
      </c>
      <c r="F1187" s="7">
        <v>7</v>
      </c>
      <c r="G1187" s="1">
        <v>16.899999999999999</v>
      </c>
      <c r="H1187" s="34">
        <f>Tabela1[[#This Row],[PESO UNI]]*Tabela1[[#This Row],[QTE]]</f>
        <v>16.899999999999999</v>
      </c>
      <c r="I1187" s="7">
        <v>0</v>
      </c>
      <c r="J1187" s="8" t="s">
        <v>5529</v>
      </c>
      <c r="K1187" s="8" t="s">
        <v>4320</v>
      </c>
      <c r="L1187" s="9" t="s">
        <v>5530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>IFERROR(H1187*((AA1187*0.25)+(AC1187*0.25)+(AD1187*0.225)+(AE1187*0.225)+(AF1187*0.05)),"")</f>
        <v>4.2249999999999996</v>
      </c>
      <c r="S1187" s="18">
        <f>IFERROR(H1187*AG1187,"")</f>
        <v>0</v>
      </c>
      <c r="T1187" s="19">
        <f>IFERROR(S1187-H1187,"")</f>
        <v>-16.899999999999999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>U1187-C1187</f>
        <v>-1</v>
      </c>
      <c r="Z1187" s="20">
        <f>Tabela1[[#This Row],[PESO TOTAL]]-Tabela1[[#This Row],[Peso Expedido]]</f>
        <v>16.899999999999999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customHeight="1" x14ac:dyDescent="0.25">
      <c r="A1188" s="1" t="s">
        <v>5672</v>
      </c>
      <c r="B1188" s="21" t="s">
        <v>5673</v>
      </c>
      <c r="C1188" s="1">
        <v>1</v>
      </c>
      <c r="D1188" s="1" t="s">
        <v>5682</v>
      </c>
      <c r="E1188" s="7">
        <v>4871</v>
      </c>
      <c r="F1188" s="7">
        <v>7</v>
      </c>
      <c r="G1188" s="1">
        <v>16.7</v>
      </c>
      <c r="H1188" s="34">
        <f>Tabela1[[#This Row],[PESO UNI]]*Tabela1[[#This Row],[QTE]]</f>
        <v>16.7</v>
      </c>
      <c r="I1188" s="7">
        <v>0</v>
      </c>
      <c r="J1188" s="8" t="s">
        <v>5529</v>
      </c>
      <c r="K1188" s="8" t="s">
        <v>4320</v>
      </c>
      <c r="L1188" s="9" t="s">
        <v>5530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>IFERROR(H1188*((AA1188*0.25)+(AC1188*0.25)+(AD1188*0.225)+(AE1188*0.225)+(AF1188*0.05)),"")</f>
        <v>4.1749999999999998</v>
      </c>
      <c r="S1188" s="18">
        <f>IFERROR(H1188*AG1188,"")</f>
        <v>0</v>
      </c>
      <c r="T1188" s="19">
        <f>IFERROR(S1188-H1188,"")</f>
        <v>-16.7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>U1188-C1188</f>
        <v>-1</v>
      </c>
      <c r="Z1188" s="20">
        <f>Tabela1[[#This Row],[PESO TOTAL]]-Tabela1[[#This Row],[Peso Expedido]]</f>
        <v>16.7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customHeight="1" x14ac:dyDescent="0.25">
      <c r="A1189" s="1" t="s">
        <v>5672</v>
      </c>
      <c r="B1189" s="21" t="s">
        <v>5673</v>
      </c>
      <c r="C1189" s="1">
        <v>1</v>
      </c>
      <c r="D1189" s="1" t="s">
        <v>5683</v>
      </c>
      <c r="E1189" s="7">
        <v>4872</v>
      </c>
      <c r="F1189" s="7">
        <v>7</v>
      </c>
      <c r="G1189" s="1">
        <v>14.1</v>
      </c>
      <c r="H1189" s="34">
        <f>Tabela1[[#This Row],[PESO UNI]]*Tabela1[[#This Row],[QTE]]</f>
        <v>14.1</v>
      </c>
      <c r="I1189" s="7">
        <v>0</v>
      </c>
      <c r="J1189" s="8" t="s">
        <v>5529</v>
      </c>
      <c r="K1189" s="8" t="s">
        <v>4320</v>
      </c>
      <c r="L1189" s="9" t="s">
        <v>5530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>IFERROR(H1189*((AA1189*0.25)+(AC1189*0.25)+(AD1189*0.225)+(AE1189*0.225)+(AF1189*0.05)),"")</f>
        <v>3.5249999999999999</v>
      </c>
      <c r="S1189" s="18">
        <f>IFERROR(H1189*AG1189,"")</f>
        <v>0</v>
      </c>
      <c r="T1189" s="19">
        <f>IFERROR(S1189-H1189,"")</f>
        <v>-14.1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>U1189-C1189</f>
        <v>-1</v>
      </c>
      <c r="Z1189" s="20">
        <f>Tabela1[[#This Row],[PESO TOTAL]]-Tabela1[[#This Row],[Peso Expedido]]</f>
        <v>14.1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customHeight="1" x14ac:dyDescent="0.25">
      <c r="A1190" s="1" t="s">
        <v>5672</v>
      </c>
      <c r="B1190" s="21" t="s">
        <v>5673</v>
      </c>
      <c r="C1190" s="1">
        <v>1</v>
      </c>
      <c r="D1190" s="1" t="s">
        <v>5684</v>
      </c>
      <c r="E1190" s="7">
        <v>4873</v>
      </c>
      <c r="F1190" s="7">
        <v>7</v>
      </c>
      <c r="G1190" s="1">
        <v>13.1</v>
      </c>
      <c r="H1190" s="34">
        <f>Tabela1[[#This Row],[PESO UNI]]*Tabela1[[#This Row],[QTE]]</f>
        <v>13.1</v>
      </c>
      <c r="I1190" s="7">
        <v>0</v>
      </c>
      <c r="J1190" s="8" t="s">
        <v>5529</v>
      </c>
      <c r="K1190" s="8" t="s">
        <v>4320</v>
      </c>
      <c r="L1190" s="9" t="s">
        <v>5530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>IFERROR(H1190*((AA1190*0.25)+(AC1190*0.25)+(AD1190*0.225)+(AE1190*0.225)+(AF1190*0.05)),"")</f>
        <v>3.2749999999999999</v>
      </c>
      <c r="S1190" s="18">
        <f>IFERROR(H1190*AG1190,"")</f>
        <v>0</v>
      </c>
      <c r="T1190" s="19">
        <f>IFERROR(S1190-H1190,"")</f>
        <v>-13.1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>U1190-C1190</f>
        <v>-1</v>
      </c>
      <c r="Z1190" s="20">
        <f>Tabela1[[#This Row],[PESO TOTAL]]-Tabela1[[#This Row],[Peso Expedido]]</f>
        <v>13.1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customHeight="1" x14ac:dyDescent="0.25">
      <c r="A1191" s="1" t="s">
        <v>5672</v>
      </c>
      <c r="B1191" s="21" t="s">
        <v>5673</v>
      </c>
      <c r="C1191" s="1">
        <v>1</v>
      </c>
      <c r="D1191" s="1" t="s">
        <v>5685</v>
      </c>
      <c r="E1191" s="7">
        <v>4874</v>
      </c>
      <c r="F1191" s="7">
        <v>7</v>
      </c>
      <c r="G1191" s="1">
        <v>13.1</v>
      </c>
      <c r="H1191" s="34">
        <f>Tabela1[[#This Row],[PESO UNI]]*Tabela1[[#This Row],[QTE]]</f>
        <v>13.1</v>
      </c>
      <c r="I1191" s="7">
        <v>0</v>
      </c>
      <c r="J1191" s="8" t="s">
        <v>5529</v>
      </c>
      <c r="K1191" s="8" t="s">
        <v>4320</v>
      </c>
      <c r="L1191" s="9" t="s">
        <v>5530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>IFERROR(H1191*((AA1191*0.25)+(AC1191*0.25)+(AD1191*0.225)+(AE1191*0.225)+(AF1191*0.05)),"")</f>
        <v>3.2749999999999999</v>
      </c>
      <c r="S1191" s="18">
        <f>IFERROR(H1191*AG1191,"")</f>
        <v>0</v>
      </c>
      <c r="T1191" s="19">
        <f>IFERROR(S1191-H1191,"")</f>
        <v>-13.1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>U1191-C1191</f>
        <v>-1</v>
      </c>
      <c r="Z1191" s="20">
        <f>Tabela1[[#This Row],[PESO TOTAL]]-Tabela1[[#This Row],[Peso Expedido]]</f>
        <v>13.1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customHeight="1" x14ac:dyDescent="0.25">
      <c r="A1192" s="1" t="s">
        <v>5672</v>
      </c>
      <c r="B1192" s="21" t="s">
        <v>5673</v>
      </c>
      <c r="C1192" s="1">
        <v>1</v>
      </c>
      <c r="D1192" s="1" t="s">
        <v>5686</v>
      </c>
      <c r="E1192" s="7">
        <v>4875</v>
      </c>
      <c r="F1192" s="7">
        <v>7</v>
      </c>
      <c r="G1192" s="1">
        <v>19.7</v>
      </c>
      <c r="H1192" s="34">
        <f>Tabela1[[#This Row],[PESO UNI]]*Tabela1[[#This Row],[QTE]]</f>
        <v>19.7</v>
      </c>
      <c r="I1192" s="7">
        <v>0</v>
      </c>
      <c r="J1192" s="8" t="s">
        <v>5529</v>
      </c>
      <c r="K1192" s="8" t="s">
        <v>4320</v>
      </c>
      <c r="L1192" s="9" t="s">
        <v>5530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>IFERROR(H1192*((AA1192*0.25)+(AC1192*0.25)+(AD1192*0.225)+(AE1192*0.225)+(AF1192*0.05)),"")</f>
        <v>4.9249999999999998</v>
      </c>
      <c r="S1192" s="18">
        <f>IFERROR(H1192*AG1192,"")</f>
        <v>0</v>
      </c>
      <c r="T1192" s="19">
        <f>IFERROR(S1192-H1192,"")</f>
        <v>-19.7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>U1192-C1192</f>
        <v>-1</v>
      </c>
      <c r="Z1192" s="20">
        <f>Tabela1[[#This Row],[PESO TOTAL]]-Tabela1[[#This Row],[Peso Expedido]]</f>
        <v>19.7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customHeight="1" x14ac:dyDescent="0.25">
      <c r="A1193" s="1" t="s">
        <v>5672</v>
      </c>
      <c r="B1193" s="21" t="s">
        <v>5673</v>
      </c>
      <c r="C1193" s="1">
        <v>2</v>
      </c>
      <c r="D1193" s="1" t="s">
        <v>5687</v>
      </c>
      <c r="E1193" s="7">
        <v>4876</v>
      </c>
      <c r="F1193" s="7">
        <v>7</v>
      </c>
      <c r="G1193" s="1">
        <v>1.7</v>
      </c>
      <c r="H1193" s="34">
        <f>Tabela1[[#This Row],[PESO UNI]]*Tabela1[[#This Row],[QTE]]</f>
        <v>3.4</v>
      </c>
      <c r="I1193" s="7">
        <v>0</v>
      </c>
      <c r="J1193" s="8" t="s">
        <v>5529</v>
      </c>
      <c r="K1193" s="8" t="s">
        <v>4320</v>
      </c>
      <c r="L1193" s="9" t="s">
        <v>5530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-2</v>
      </c>
      <c r="R1193" s="18">
        <f>IFERROR(H1193*((AA1193*0.25)+(AC1193*0.25)+(AD1193*0.225)+(AE1193*0.225)+(AF1193*0.05)),"")</f>
        <v>0.85</v>
      </c>
      <c r="S1193" s="18">
        <f>IFERROR(H1193*AG1193,"")</f>
        <v>0</v>
      </c>
      <c r="T1193" s="19">
        <f>IFERROR(S1193-H1193,"")</f>
        <v>-3.4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>U1193-C1193</f>
        <v>-2</v>
      </c>
      <c r="Z1193" s="20">
        <f>Tabela1[[#This Row],[PESO TOTAL]]-Tabela1[[#This Row],[Peso Expedido]]</f>
        <v>3.4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customHeight="1" x14ac:dyDescent="0.25">
      <c r="A1194" s="1" t="s">
        <v>5672</v>
      </c>
      <c r="B1194" s="21" t="s">
        <v>5673</v>
      </c>
      <c r="C1194" s="1">
        <v>2</v>
      </c>
      <c r="D1194" s="1" t="s">
        <v>5688</v>
      </c>
      <c r="E1194" s="7">
        <v>4877</v>
      </c>
      <c r="F1194" s="7">
        <v>7</v>
      </c>
      <c r="G1194" s="1">
        <v>6.6</v>
      </c>
      <c r="H1194" s="34">
        <f>Tabela1[[#This Row],[PESO UNI]]*Tabela1[[#This Row],[QTE]]</f>
        <v>13.2</v>
      </c>
      <c r="I1194" s="7">
        <v>0</v>
      </c>
      <c r="J1194" s="8" t="s">
        <v>5529</v>
      </c>
      <c r="K1194" s="8" t="s">
        <v>4320</v>
      </c>
      <c r="L1194" s="9" t="s">
        <v>5530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-2</v>
      </c>
      <c r="R1194" s="18">
        <f>IFERROR(H1194*((AA1194*0.25)+(AC1194*0.25)+(AD1194*0.225)+(AE1194*0.225)+(AF1194*0.05)),"")</f>
        <v>3.3</v>
      </c>
      <c r="S1194" s="18">
        <f>IFERROR(H1194*AG1194,"")</f>
        <v>0</v>
      </c>
      <c r="T1194" s="19">
        <f>IFERROR(S1194-H1194,"")</f>
        <v>-13.2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>U1194-C1194</f>
        <v>-2</v>
      </c>
      <c r="Z1194" s="20">
        <f>Tabela1[[#This Row],[PESO TOTAL]]-Tabela1[[#This Row],[Peso Expedido]]</f>
        <v>13.2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customHeight="1" x14ac:dyDescent="0.25">
      <c r="A1195" s="1" t="s">
        <v>5672</v>
      </c>
      <c r="B1195" s="21" t="s">
        <v>5673</v>
      </c>
      <c r="C1195" s="1">
        <v>2</v>
      </c>
      <c r="D1195" s="1" t="s">
        <v>5689</v>
      </c>
      <c r="E1195" s="7">
        <v>4878</v>
      </c>
      <c r="F1195" s="7">
        <v>7</v>
      </c>
      <c r="G1195" s="1">
        <v>15</v>
      </c>
      <c r="H1195" s="34">
        <f>Tabela1[[#This Row],[PESO UNI]]*Tabela1[[#This Row],[QTE]]</f>
        <v>30</v>
      </c>
      <c r="I1195" s="7">
        <v>0</v>
      </c>
      <c r="J1195" s="8" t="s">
        <v>5529</v>
      </c>
      <c r="K1195" s="8" t="s">
        <v>4320</v>
      </c>
      <c r="L1195" s="9" t="s">
        <v>5530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-2</v>
      </c>
      <c r="R1195" s="18">
        <f>IFERROR(H1195*((AA1195*0.25)+(AC1195*0.25)+(AD1195*0.225)+(AE1195*0.225)+(AF1195*0.05)),"")</f>
        <v>7.5</v>
      </c>
      <c r="S1195" s="18">
        <f>IFERROR(H1195*AG1195,"")</f>
        <v>0</v>
      </c>
      <c r="T1195" s="19">
        <f>IFERROR(S1195-H1195,"")</f>
        <v>-30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>U1195-C1195</f>
        <v>-2</v>
      </c>
      <c r="Z1195" s="20">
        <f>Tabela1[[#This Row],[PESO TOTAL]]-Tabela1[[#This Row],[Peso Expedido]]</f>
        <v>30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customHeight="1" x14ac:dyDescent="0.25">
      <c r="A1196" s="1" t="s">
        <v>5672</v>
      </c>
      <c r="B1196" s="21" t="s">
        <v>5673</v>
      </c>
      <c r="C1196" s="1">
        <v>1</v>
      </c>
      <c r="D1196" s="1" t="s">
        <v>5690</v>
      </c>
      <c r="E1196" s="7">
        <v>4879</v>
      </c>
      <c r="F1196" s="7">
        <v>7</v>
      </c>
      <c r="G1196" s="1">
        <v>113.6</v>
      </c>
      <c r="H1196" s="34">
        <f>Tabela1[[#This Row],[PESO UNI]]*Tabela1[[#This Row],[QTE]]</f>
        <v>113.6</v>
      </c>
      <c r="I1196" s="7">
        <v>0</v>
      </c>
      <c r="J1196" s="8" t="s">
        <v>5529</v>
      </c>
      <c r="K1196" s="8" t="s">
        <v>4320</v>
      </c>
      <c r="L1196" s="9" t="s">
        <v>5530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-1</v>
      </c>
      <c r="R1196" s="18">
        <f>IFERROR(H1196*((AA1196*0.25)+(AC1196*0.25)+(AD1196*0.225)+(AE1196*0.225)+(AF1196*0.05)),"")</f>
        <v>28.4</v>
      </c>
      <c r="S1196" s="18">
        <f>IFERROR(H1196*AG1196,"")</f>
        <v>0</v>
      </c>
      <c r="T1196" s="19">
        <f>IFERROR(S1196-H1196,"")</f>
        <v>-113.6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>U1196-C1196</f>
        <v>-1</v>
      </c>
      <c r="Z1196" s="20">
        <f>Tabela1[[#This Row],[PESO TOTAL]]-Tabela1[[#This Row],[Peso Expedido]]</f>
        <v>113.6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customHeight="1" x14ac:dyDescent="0.25">
      <c r="A1197" s="1" t="s">
        <v>5691</v>
      </c>
      <c r="B1197" s="21" t="s">
        <v>5673</v>
      </c>
      <c r="C1197" s="1">
        <v>4</v>
      </c>
      <c r="D1197" s="1" t="s">
        <v>5692</v>
      </c>
      <c r="E1197" s="7">
        <v>4880</v>
      </c>
      <c r="F1197" s="7">
        <v>8</v>
      </c>
      <c r="G1197" s="1">
        <v>21.2</v>
      </c>
      <c r="H1197" s="34">
        <f>Tabela1[[#This Row],[PESO UNI]]*Tabela1[[#This Row],[QTE]]</f>
        <v>84.8</v>
      </c>
      <c r="I1197" s="7">
        <v>0</v>
      </c>
      <c r="J1197" s="8" t="s">
        <v>5529</v>
      </c>
      <c r="K1197" s="8" t="s">
        <v>4320</v>
      </c>
      <c r="L1197" s="9" t="s">
        <v>5530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-4</v>
      </c>
      <c r="R1197" s="18">
        <f>IFERROR(H1197*((AA1197*0.25)+(AC1197*0.25)+(AD1197*0.225)+(AE1197*0.225)+(AF1197*0.05)),"")</f>
        <v>21.2</v>
      </c>
      <c r="S1197" s="18">
        <f>IFERROR(H1197*AG1197,"")</f>
        <v>0</v>
      </c>
      <c r="T1197" s="19">
        <f>IFERROR(S1197-H1197,"")</f>
        <v>-84.8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>U1197-C1197</f>
        <v>-4</v>
      </c>
      <c r="Z1197" s="20">
        <f>Tabela1[[#This Row],[PESO TOTAL]]-Tabela1[[#This Row],[Peso Expedido]]</f>
        <v>84.8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customHeight="1" x14ac:dyDescent="0.25">
      <c r="A1198" s="1" t="s">
        <v>5691</v>
      </c>
      <c r="B1198" s="21" t="s">
        <v>5673</v>
      </c>
      <c r="C1198" s="1">
        <v>4</v>
      </c>
      <c r="D1198" s="1" t="s">
        <v>5693</v>
      </c>
      <c r="E1198" s="7">
        <v>4881</v>
      </c>
      <c r="F1198" s="7">
        <v>8</v>
      </c>
      <c r="G1198" s="1">
        <v>7.6</v>
      </c>
      <c r="H1198" s="34">
        <f>Tabela1[[#This Row],[PESO UNI]]*Tabela1[[#This Row],[QTE]]</f>
        <v>30.4</v>
      </c>
      <c r="I1198" s="7">
        <v>0</v>
      </c>
      <c r="J1198" s="8" t="s">
        <v>5529</v>
      </c>
      <c r="K1198" s="8" t="s">
        <v>4320</v>
      </c>
      <c r="L1198" s="9" t="s">
        <v>5530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-4</v>
      </c>
      <c r="R1198" s="18">
        <f>IFERROR(H1198*((AA1198*0.25)+(AC1198*0.25)+(AD1198*0.225)+(AE1198*0.225)+(AF1198*0.05)),"")</f>
        <v>7.6</v>
      </c>
      <c r="S1198" s="18">
        <f>IFERROR(H1198*AG1198,"")</f>
        <v>0</v>
      </c>
      <c r="T1198" s="19">
        <f>IFERROR(S1198-H1198,"")</f>
        <v>-30.4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>U1198-C1198</f>
        <v>-4</v>
      </c>
      <c r="Z1198" s="20">
        <f>Tabela1[[#This Row],[PESO TOTAL]]-Tabela1[[#This Row],[Peso Expedido]]</f>
        <v>30.4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</sheetData>
  <phoneticPr fontId="6" type="noConversion"/>
  <conditionalFormatting sqref="A1077:A1083 B1082:C1083 H606:I1198 K859:O1198 B1097:B1198 F1097:F1198">
    <cfRule type="expression" dxfId="140" priority="1592">
      <formula>#REF!="OK"</formula>
    </cfRule>
  </conditionalFormatting>
  <conditionalFormatting sqref="A1084:C1096">
    <cfRule type="expression" dxfId="139" priority="1078">
      <formula>#REF!="OK"</formula>
    </cfRule>
  </conditionalFormatting>
  <conditionalFormatting sqref="A862:X862 E2:E458 AA29:AH120 AI29:AI459 AE121:AH122 AA123:AH140 AD141:AH142 AA143:AH147 AD148:AH149 AA150:AH449 AA452:AD453 AA454:AB458 AD454:AD458 AA486:AH604 E556:E604 L605 E606:E1039 AA762:AJ762 AC762:AE763 AA763:AI797 AA798:AH804 AA805:AI816 AA817:AH817 AB818:AI819 AA820:AI821 AB822:AI833 AA834:AI836 AB837:AI838 AA839:AI839 AB840:AI841 AA842:AI857 AB858:AI858 AA859:AI873 AB874:AI884 AA885:AI891 AB892:AI952 AB953:AB954 AH953:AI954 AB955:AI986 AB987:AB988 AH987:AI988 AB989:AI995 AB996:AB997 AH996:AI997 AB998:AI1022 AA1023:AI1096 E1097:E1198 J605:J1198 AB1097:AI1198">
    <cfRule type="expression" dxfId="138" priority="1708">
      <formula>$AI2="OK"</formula>
    </cfRule>
  </conditionalFormatting>
  <conditionalFormatting sqref="E1079:F1096 AR1079:XFD1096 B1088:C1096">
    <cfRule type="expression" dxfId="137" priority="922">
      <formula>#REF!="OK"</formula>
    </cfRule>
  </conditionalFormatting>
  <conditionalFormatting sqref="F564:F1078 B606:B1051 K764:O817 K818:M819 O818:O819 K820:O821 K822:M833 O822:O833 K834:O836 K837:M838 O837:O838 K839:O839 K840:M841 O840:O841 K842:O857 K858:M858 O858 A1052:B1078">
    <cfRule type="expression" dxfId="136" priority="1193">
      <formula>#REF!="OK"</formula>
    </cfRule>
  </conditionalFormatting>
  <conditionalFormatting sqref="G452:G458">
    <cfRule type="expression" dxfId="135" priority="59">
      <formula>$AI506="OK"</formula>
    </cfRule>
  </conditionalFormatting>
  <conditionalFormatting sqref="H419">
    <cfRule type="expression" dxfId="134" priority="28501">
      <formula>$AI449="OK"</formula>
    </cfRule>
  </conditionalFormatting>
  <conditionalFormatting sqref="H420:H438">
    <cfRule type="expression" dxfId="133" priority="28491">
      <formula>$AI459="OK"</formula>
    </cfRule>
  </conditionalFormatting>
  <conditionalFormatting sqref="H576">
    <cfRule type="expression" dxfId="132" priority="28468">
      <formula>$AI604="OK"</formula>
    </cfRule>
  </conditionalFormatting>
  <conditionalFormatting sqref="A1079:C1081">
    <cfRule type="expression" dxfId="131" priority="1150">
      <formula>#REF!="OK"</formula>
    </cfRule>
  </conditionalFormatting>
  <conditionalFormatting sqref="K153:K438 K445:K451 L448:L449 L762:O763">
    <cfRule type="expression" dxfId="130" priority="1717">
      <formula>#REF!="OK"</formula>
    </cfRule>
  </conditionalFormatting>
  <conditionalFormatting sqref="K762:K763">
    <cfRule type="expression" dxfId="129" priority="28717">
      <formula>$AI1216="OK"</formula>
    </cfRule>
  </conditionalFormatting>
  <conditionalFormatting sqref="L2:L27 H415:H417">
    <cfRule type="expression" dxfId="128" priority="28244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27" priority="1714">
      <formula>$AI72="OK"</formula>
    </cfRule>
  </conditionalFormatting>
  <conditionalFormatting sqref="L408">
    <cfRule type="expression" dxfId="126" priority="28493">
      <formula>$AI449="OK"</formula>
    </cfRule>
  </conditionalFormatting>
  <conditionalFormatting sqref="L409:L438">
    <cfRule type="expression" dxfId="125" priority="28346">
      <formula>$AI459="OK"</formula>
    </cfRule>
  </conditionalFormatting>
  <conditionalFormatting sqref="N2:N451">
    <cfRule type="expression" dxfId="124" priority="1598">
      <formula>#REF!="OK"</formula>
    </cfRule>
  </conditionalFormatting>
  <conditionalFormatting sqref="N818:N819">
    <cfRule type="expression" dxfId="123" priority="285">
      <formula>#REF!="OK"</formula>
    </cfRule>
  </conditionalFormatting>
  <conditionalFormatting sqref="N822:N833">
    <cfRule type="expression" dxfId="122" priority="273">
      <formula>#REF!="OK"</formula>
    </cfRule>
  </conditionalFormatting>
  <conditionalFormatting sqref="N837:N838">
    <cfRule type="expression" dxfId="121" priority="271">
      <formula>#REF!="OK"</formula>
    </cfRule>
  </conditionalFormatting>
  <conditionalFormatting sqref="N840:N841">
    <cfRule type="expression" dxfId="120" priority="269">
      <formula>#REF!="OK"</formula>
    </cfRule>
  </conditionalFormatting>
  <conditionalFormatting sqref="N858">
    <cfRule type="expression" dxfId="119" priority="267">
      <formula>#REF!="OK"</formula>
    </cfRule>
  </conditionalFormatting>
  <conditionalFormatting sqref="O450:O458 T2:T1198 Y2:Z1198 Q459:Q1198">
    <cfRule type="cellIs" dxfId="118" priority="1664" operator="greaterThanOrEqual">
      <formula>0</formula>
    </cfRule>
  </conditionalFormatting>
  <conditionalFormatting sqref="O450:P453 H449 R449 M450:M451 A450:D453 F450:F453 H450:J458 K452:N458 P457:P458">
    <cfRule type="expression" dxfId="117" priority="28302">
      <formula>$AI503="OK"</formula>
    </cfRule>
  </conditionalFormatting>
  <conditionalFormatting sqref="O2:Z27 A2:D27 F2:F27 H2:K27 M2:M27 H153:H413 H459:H571">
    <cfRule type="expression" dxfId="116" priority="28277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15" priority="27975">
      <formula>$AI73="OK"</formula>
    </cfRule>
  </conditionalFormatting>
  <conditionalFormatting sqref="O108:Z108 A108:D108 F108 H108:K108 M108 L109">
    <cfRule type="expression" dxfId="114" priority="28610">
      <formula>#REF!="OK"</formula>
    </cfRule>
  </conditionalFormatting>
  <conditionalFormatting sqref="O402:Z402 O406:Z406 A402:D402 F402 I402:J402 M402 L403 A406:D406 F406 I406:J406 M406 L407 H414 H418">
    <cfRule type="expression" dxfId="113" priority="28494">
      <formula>#REF!="OK"</formula>
    </cfRule>
  </conditionalFormatting>
  <conditionalFormatting sqref="O403:Z405 L110:L152 L214:L256 L396:L402 A403:D405 F403:F405 I403:J405 M403:M405">
    <cfRule type="expression" dxfId="112" priority="28181">
      <formula>$AI153="OK"</formula>
    </cfRule>
  </conditionalFormatting>
  <conditionalFormatting sqref="O407:Z407 L404:L406 A407:D407 F407 I407:J407 M407">
    <cfRule type="expression" dxfId="111" priority="28503">
      <formula>$AI446="OK"</formula>
    </cfRule>
  </conditionalFormatting>
  <conditionalFormatting sqref="O446:Z446 S449:Z449 O449:Q449 Q450:Q451 O454:P456 O457:O458 A446:D446 F446 J446 M446 H446:H448 R447:R448 A449:D449 F449 J449 M449 L450:L451 U450:U458 A454:D458 F454:F458">
    <cfRule type="expression" dxfId="110" priority="28316">
      <formula>$AI499="OK"</formula>
    </cfRule>
  </conditionalFormatting>
  <conditionalFormatting sqref="O559:Z562 Z560:Z563 B559:B562 F559:F562 I559:I562 M559:M562 H572:H575">
    <cfRule type="expression" dxfId="109" priority="28431">
      <formula>#REF!="OK"</formula>
    </cfRule>
  </conditionalFormatting>
  <conditionalFormatting sqref="O563:Z563 B563 F563 I563 M563">
    <cfRule type="expression" dxfId="108" priority="28345">
      <formula>$AI604="OK"</formula>
    </cfRule>
  </conditionalFormatting>
  <conditionalFormatting sqref="P762:Z834">
    <cfRule type="expression" dxfId="107" priority="28630">
      <formula>$AI1226="OK"</formula>
    </cfRule>
  </conditionalFormatting>
  <conditionalFormatting sqref="P835:Z845">
    <cfRule type="expression" dxfId="106" priority="28706">
      <formula>$AI1297="OK"</formula>
    </cfRule>
  </conditionalFormatting>
  <conditionalFormatting sqref="P837:Z845">
    <cfRule type="expression" dxfId="105" priority="28707">
      <formula>$AI1298="OK"</formula>
    </cfRule>
  </conditionalFormatting>
  <conditionalFormatting sqref="P845:Z845 P847:Z913 A873:X873">
    <cfRule type="expression" dxfId="104" priority="28699">
      <formula>$AI1305="OK"</formula>
    </cfRule>
  </conditionalFormatting>
  <conditionalFormatting sqref="P846:Z846">
    <cfRule type="expression" dxfId="103" priority="408">
      <formula>$AI1306="OK"</formula>
    </cfRule>
    <cfRule type="expression" dxfId="102" priority="409">
      <formula>$AI1308="OK"</formula>
    </cfRule>
    <cfRule type="expression" dxfId="101" priority="410">
      <formula>$AI1307="OK"</formula>
    </cfRule>
  </conditionalFormatting>
  <conditionalFormatting sqref="P847:Z913 A873:X873">
    <cfRule type="expression" dxfId="100" priority="28723">
      <formula>$AI1306="OK"</formula>
    </cfRule>
  </conditionalFormatting>
  <conditionalFormatting sqref="P914:Z927">
    <cfRule type="expression" dxfId="99" priority="287">
      <formula>$AI1374="OK"</formula>
    </cfRule>
    <cfRule type="expression" dxfId="98" priority="288">
      <formula>$AI1373="OK"</formula>
    </cfRule>
  </conditionalFormatting>
  <conditionalFormatting sqref="P928:Z1015">
    <cfRule type="expression" dxfId="97" priority="28711">
      <formula>$AI1362="OK"</formula>
    </cfRule>
  </conditionalFormatting>
  <conditionalFormatting sqref="P928:Z1044">
    <cfRule type="expression" dxfId="96" priority="28709">
      <formula>$AI1361="OK"</formula>
    </cfRule>
  </conditionalFormatting>
  <conditionalFormatting sqref="P1016:Z1044 P1048:Z1105">
    <cfRule type="expression" dxfId="95" priority="28697">
      <formula>$AI1448="OK"</formula>
    </cfRule>
  </conditionalFormatting>
  <conditionalFormatting sqref="P1045:Z1047">
    <cfRule type="expression" dxfId="94" priority="1254">
      <formula>$AI1477="OK"</formula>
    </cfRule>
    <cfRule type="expression" dxfId="93" priority="1255">
      <formula>$AI1478="OK"</formula>
    </cfRule>
  </conditionalFormatting>
  <conditionalFormatting sqref="P1048:Z1105">
    <cfRule type="expression" dxfId="92" priority="28705">
      <formula>$AI1481="OK"</formula>
    </cfRule>
  </conditionalFormatting>
  <conditionalFormatting sqref="P1106:Z1109">
    <cfRule type="expression" dxfId="91" priority="259">
      <formula>$AI1538="OK"</formula>
    </cfRule>
    <cfRule type="expression" dxfId="90" priority="260">
      <formula>$AI1539="OK"</formula>
    </cfRule>
  </conditionalFormatting>
  <conditionalFormatting sqref="P1110:Z1111">
    <cfRule type="expression" dxfId="89" priority="28733">
      <formula>$AI1535="OK"</formula>
    </cfRule>
  </conditionalFormatting>
  <conditionalFormatting sqref="P1112:Z1197">
    <cfRule type="expression" dxfId="88" priority="28747">
      <formula>$AI1535="OK"</formula>
    </cfRule>
  </conditionalFormatting>
  <conditionalFormatting sqref="Q2:Q451 A873:X873">
    <cfRule type="cellIs" dxfId="87" priority="27944" operator="greaterThanOrEqual">
      <formula>0</formula>
    </cfRule>
  </conditionalFormatting>
  <conditionalFormatting sqref="Q2:Q451 Q459:Q1198">
    <cfRule type="cellIs" dxfId="86" priority="27943" operator="lessThan">
      <formula>0</formula>
    </cfRule>
  </conditionalFormatting>
  <conditionalFormatting sqref="Q452:Q458">
    <cfRule type="expression" dxfId="85" priority="58">
      <formula>$AI506="OK"</formula>
    </cfRule>
  </conditionalFormatting>
  <conditionalFormatting sqref="O450:O458">
    <cfRule type="cellIs" dxfId="84" priority="1663" operator="lessThan">
      <formula>0</formula>
    </cfRule>
  </conditionalFormatting>
  <conditionalFormatting sqref="S211">
    <cfRule type="expression" dxfId="83" priority="1715">
      <formula>#REF!="OK"</formula>
    </cfRule>
  </conditionalFormatting>
  <conditionalFormatting sqref="S393">
    <cfRule type="expression" dxfId="82" priority="1716">
      <formula>#REF!="OK"</formula>
    </cfRule>
  </conditionalFormatting>
  <conditionalFormatting sqref="S447:Z447 O447:Q447 A447:D447 F447 J447 M447">
    <cfRule type="expression" dxfId="81" priority="28301">
      <formula>#REF!="OK"</formula>
    </cfRule>
  </conditionalFormatting>
  <conditionalFormatting sqref="A873:X873 T2:T1198 Y2:Z1198">
    <cfRule type="cellIs" dxfId="80" priority="27945" operator="lessThan">
      <formula>0</formula>
    </cfRule>
  </conditionalFormatting>
  <conditionalFormatting sqref="T212:Z212 O212:R212 A212:D212 F212 I212:J212 M212">
    <cfRule type="expression" dxfId="79" priority="28155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78" priority="28043">
      <formula>$AI257="OK"</formula>
    </cfRule>
  </conditionalFormatting>
  <conditionalFormatting sqref="T394:Z394 O394:R394 A394:D394 F394 I394:J394 M394 L395">
    <cfRule type="expression" dxfId="77" priority="28206">
      <formula>#REF!="OK"</formula>
    </cfRule>
  </conditionalFormatting>
  <conditionalFormatting sqref="T408:Z438 O408:R438 S408:S437 A408:D438 F408:F438 I408:J438 M408:M438 L439:L445">
    <cfRule type="expression" dxfId="76" priority="28587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75" priority="28496">
      <formula>$AI490="OK"</formula>
    </cfRule>
  </conditionalFormatting>
  <conditionalFormatting sqref="T605:Z605 Q605:R605 H605">
    <cfRule type="expression" dxfId="74" priority="28483">
      <formula>$AI669="OK"</formula>
    </cfRule>
  </conditionalFormatting>
  <conditionalFormatting sqref="V450:Y451 R450:T458 V452:Z458">
    <cfRule type="expression" dxfId="73" priority="28401">
      <formula>$AI487="OK"</formula>
    </cfRule>
  </conditionalFormatting>
  <conditionalFormatting sqref="Z450:Z451 O564:Z622 K623:Z761 K556:K622 B564:B603 I564:I603 M564:M603 H577:H603 A604:D605 H604:J605 L604:N622">
    <cfRule type="expression" dxfId="72" priority="28470">
      <formula>#REF!="OK"</formula>
    </cfRule>
  </conditionalFormatting>
  <conditionalFormatting sqref="Z450:Z451">
    <cfRule type="expression" dxfId="71" priority="1647">
      <formula>$AI494="OK"</formula>
    </cfRule>
  </conditionalFormatting>
  <conditionalFormatting sqref="Z564">
    <cfRule type="expression" dxfId="70" priority="28461">
      <formula>$AI604="OK"</formula>
    </cfRule>
  </conditionalFormatting>
  <conditionalFormatting sqref="Z605">
    <cfRule type="expression" dxfId="69" priority="28486">
      <formula>$AI668="OK"</formula>
    </cfRule>
  </conditionalFormatting>
  <conditionalFormatting sqref="AA818:AA819 AA892:AA1022 AA1097:AA1198">
    <cfRule type="cellIs" dxfId="68" priority="538" operator="greaterThanOrEqual">
      <formula>1</formula>
    </cfRule>
    <cfRule type="expression" dxfId="67" priority="539">
      <formula>$AI818="OK"</formula>
    </cfRule>
  </conditionalFormatting>
  <conditionalFormatting sqref="AA822:AA833">
    <cfRule type="cellIs" dxfId="66" priority="514" operator="greaterThanOrEqual">
      <formula>1</formula>
    </cfRule>
    <cfRule type="expression" dxfId="65" priority="515">
      <formula>$AI822="OK"</formula>
    </cfRule>
  </conditionalFormatting>
  <conditionalFormatting sqref="AA837:AA838">
    <cfRule type="cellIs" dxfId="64" priority="510" operator="greaterThanOrEqual">
      <formula>1</formula>
    </cfRule>
    <cfRule type="expression" dxfId="63" priority="511">
      <formula>$AI837="OK"</formula>
    </cfRule>
  </conditionalFormatting>
  <conditionalFormatting sqref="AA840:AA841">
    <cfRule type="cellIs" dxfId="62" priority="506" operator="greaterThanOrEqual">
      <formula>1</formula>
    </cfRule>
    <cfRule type="expression" dxfId="61" priority="507">
      <formula>$AI840="OK"</formula>
    </cfRule>
  </conditionalFormatting>
  <conditionalFormatting sqref="AA858">
    <cfRule type="cellIs" dxfId="60" priority="504" operator="greaterThanOrEqual">
      <formula>1</formula>
    </cfRule>
    <cfRule type="expression" dxfId="59" priority="505">
      <formula>$AI858="OK"</formula>
    </cfRule>
  </conditionalFormatting>
  <conditionalFormatting sqref="AA874:AA884">
    <cfRule type="cellIs" dxfId="58" priority="482" operator="greaterThanOrEqual">
      <formula>1</formula>
    </cfRule>
    <cfRule type="expression" dxfId="57" priority="483">
      <formula>$AI874="OK"</formula>
    </cfRule>
  </conditionalFormatting>
  <conditionalFormatting sqref="AA137:AC141">
    <cfRule type="expression" dxfId="56" priority="445">
      <formula>$AI137="OK"</formula>
    </cfRule>
  </conditionalFormatting>
  <conditionalFormatting sqref="AA142:AC142 AC988:AG988">
    <cfRule type="expression" dxfId="55" priority="447">
      <formula>$AI141="OK"</formula>
    </cfRule>
  </conditionalFormatting>
  <conditionalFormatting sqref="AA143:AC148">
    <cfRule type="expression" dxfId="54" priority="437">
      <formula>$AI143="OK"</formula>
    </cfRule>
  </conditionalFormatting>
  <conditionalFormatting sqref="AA149:AC149">
    <cfRule type="expression" dxfId="53" priority="439">
      <formula>$AI148="OK"</formula>
    </cfRule>
  </conditionalFormatting>
  <conditionalFormatting sqref="AA150:AC150">
    <cfRule type="expression" dxfId="52" priority="436">
      <formula>$AI150="OK"</formula>
    </cfRule>
  </conditionalFormatting>
  <conditionalFormatting sqref="AA608:AC609 AA612:AC616 AA619:AC622 AA775:AC797 AA805:AC816 AA820:AC821 AA835:AC836 AA839:AC839 AA855:AC857 AA859:AC861 AA863:AC868 AA1034:AC1034">
    <cfRule type="expression" dxfId="51" priority="433">
      <formula>$AI608="OK"</formula>
    </cfRule>
  </conditionalFormatting>
  <conditionalFormatting sqref="AA608:AC609 AA612:AC616 AA619:AC622 AA1023:AJ1096 AB1097:AJ1197">
    <cfRule type="cellIs" dxfId="50" priority="435" operator="greaterThanOrEqual">
      <formula>1</formula>
    </cfRule>
  </conditionalFormatting>
  <conditionalFormatting sqref="AA121:AD127">
    <cfRule type="expression" dxfId="49" priority="542">
      <formula>$AI121="OK"</formula>
    </cfRule>
  </conditionalFormatting>
  <conditionalFormatting sqref="AA604:AH604">
    <cfRule type="cellIs" dxfId="48" priority="550" operator="greaterThanOrEqual">
      <formula>1</formula>
    </cfRule>
  </conditionalFormatting>
  <conditionalFormatting sqref="AA606:AH607">
    <cfRule type="expression" dxfId="47" priority="255">
      <formula>$AI606="OK"</formula>
    </cfRule>
    <cfRule type="cellIs" dxfId="46" priority="256" operator="greaterThanOrEqual">
      <formula>1</formula>
    </cfRule>
  </conditionalFormatting>
  <conditionalFormatting sqref="AA617:AH618">
    <cfRule type="expression" dxfId="45" priority="251">
      <formula>$AI617="OK"</formula>
    </cfRule>
    <cfRule type="cellIs" dxfId="44" priority="252" operator="greaterThanOrEqual">
      <formula>1</formula>
    </cfRule>
  </conditionalFormatting>
  <conditionalFormatting sqref="AA623:AH761">
    <cfRule type="expression" dxfId="43" priority="548">
      <formula>$AI623="OK"</formula>
    </cfRule>
    <cfRule type="cellIs" dxfId="42" priority="549" operator="greaterThanOrEqual">
      <formula>1</formula>
    </cfRule>
  </conditionalFormatting>
  <conditionalFormatting sqref="AA2:AI28 AA450:AE451 AE452:AG453 AF454:AG458 AA459:AH459 A459:G555 I459:N555 AA460:AI603 J556:J603 L556:L603">
    <cfRule type="expression" dxfId="41" priority="27941">
      <formula>$AI2="OK"</formula>
    </cfRule>
  </conditionalFormatting>
  <conditionalFormatting sqref="AA2:AI28 AA29:AH451 AI29:AI459 AJ153:AW153 AA452:AG453 AA454:AB458 AD454:AG458 AA459:AH459 AA762:AJ797 AA798:AH804 AJ798:AJ804 AA805:AJ816 AA817:AH817 AJ817 AB818:AJ819 AA820:AJ821 AB822:AJ833 AA834:AJ836 AB837:AJ838 AA839:AJ839 AB840:AJ841 AB858:AJ858 AA859:AJ873 AB874:AJ884 AA885:AJ891">
    <cfRule type="cellIs" dxfId="40" priority="27942" operator="greaterThanOrEqual">
      <formula>1</formula>
    </cfRule>
  </conditionalFormatting>
  <conditionalFormatting sqref="AA460:AI605 AI606:AI761 AI798:AI804 AI817">
    <cfRule type="cellIs" dxfId="39" priority="1641" operator="greaterThanOrEqual">
      <formula>1</formula>
    </cfRule>
  </conditionalFormatting>
  <conditionalFormatting sqref="AA605:AI605">
    <cfRule type="expression" dxfId="38" priority="1642">
      <formula>$AI605="OK"</formula>
    </cfRule>
  </conditionalFormatting>
  <conditionalFormatting sqref="AA842:AJ857">
    <cfRule type="cellIs" dxfId="37" priority="407" operator="greaterThanOrEqual">
      <formula>1</formula>
    </cfRule>
  </conditionalFormatting>
  <conditionalFormatting sqref="AB892:AJ1022 AA1047:AA1048">
    <cfRule type="cellIs" dxfId="36" priority="405" operator="greaterThanOrEqual">
      <formula>1</formula>
    </cfRule>
  </conditionalFormatting>
  <conditionalFormatting sqref="AC454:AC458">
    <cfRule type="expression" dxfId="35" priority="1581">
      <formula>$AI454="OK"</formula>
    </cfRule>
    <cfRule type="cellIs" dxfId="34" priority="1582" operator="greaterThanOrEqual">
      <formula>1</formula>
    </cfRule>
  </conditionalFormatting>
  <conditionalFormatting sqref="AC1047:AC1048">
    <cfRule type="cellIs" dxfId="33" priority="403" operator="greaterThanOrEqual">
      <formula>1</formula>
    </cfRule>
  </conditionalFormatting>
  <conditionalFormatting sqref="AC892:AG898">
    <cfRule type="cellIs" dxfId="32" priority="244" operator="greaterThanOrEqual">
      <formula>1</formula>
    </cfRule>
  </conditionalFormatting>
  <conditionalFormatting sqref="AC928:AG1022">
    <cfRule type="cellIs" dxfId="31" priority="78" operator="greaterThanOrEqual">
      <formula>1</formula>
    </cfRule>
  </conditionalFormatting>
  <conditionalFormatting sqref="AC953:AG987">
    <cfRule type="expression" dxfId="30" priority="148">
      <formula>$AI954="OK"</formula>
    </cfRule>
  </conditionalFormatting>
  <conditionalFormatting sqref="AC987:AG988">
    <cfRule type="expression" dxfId="29" priority="149">
      <formula>$AI987="OK"</formula>
    </cfRule>
  </conditionalFormatting>
  <conditionalFormatting sqref="AC989:AG1022">
    <cfRule type="expression" dxfId="28" priority="79">
      <formula>$AI990="OK"</formula>
    </cfRule>
  </conditionalFormatting>
  <conditionalFormatting sqref="AC996:AG996">
    <cfRule type="expression" dxfId="27" priority="132">
      <formula>$AI998="OK"</formula>
    </cfRule>
  </conditionalFormatting>
  <conditionalFormatting sqref="AC997:AG997">
    <cfRule type="expression" dxfId="26" priority="130">
      <formula>$AI997="OK"</formula>
    </cfRule>
  </conditionalFormatting>
  <conditionalFormatting sqref="AC1097:AG1126">
    <cfRule type="cellIs" dxfId="25" priority="64" operator="greaterThanOrEqual">
      <formula>1</formula>
    </cfRule>
    <cfRule type="expression" dxfId="24" priority="65">
      <formula>$AI1098="OK"</formula>
    </cfRule>
  </conditionalFormatting>
  <conditionalFormatting sqref="AD1047:AD1048">
    <cfRule type="cellIs" dxfId="23" priority="401" operator="greaterThanOrEqual">
      <formula>1</formula>
    </cfRule>
  </conditionalFormatting>
  <conditionalFormatting sqref="AD608:AH609 AA610:AH611 AD612:AH616 AD619:AH622">
    <cfRule type="cellIs" dxfId="22" priority="1631" operator="greaterThanOrEqual">
      <formula>1</formula>
    </cfRule>
    <cfRule type="expression" dxfId="21" priority="1632">
      <formula>$AI608="OK"</formula>
    </cfRule>
  </conditionalFormatting>
  <conditionalFormatting sqref="AE454:AE458">
    <cfRule type="expression" dxfId="20" priority="1580">
      <formula>$AI454="OK"</formula>
    </cfRule>
  </conditionalFormatting>
  <conditionalFormatting sqref="AE1047:AE1048">
    <cfRule type="cellIs" dxfId="19" priority="399" operator="greaterThanOrEqual">
      <formula>1</formula>
    </cfRule>
  </conditionalFormatting>
  <conditionalFormatting sqref="AF454:AF458">
    <cfRule type="expression" dxfId="18" priority="1579">
      <formula>$AI454="OK"</formula>
    </cfRule>
  </conditionalFormatting>
  <conditionalFormatting sqref="AF1047:AF1048">
    <cfRule type="cellIs" dxfId="17" priority="397" operator="greaterThanOrEqual">
      <formula>1</formula>
    </cfRule>
  </conditionalFormatting>
  <conditionalFormatting sqref="AF450:AH451">
    <cfRule type="expression" dxfId="16" priority="1530">
      <formula>$AI450="OK"</formula>
    </cfRule>
  </conditionalFormatting>
  <conditionalFormatting sqref="AG454:AG458">
    <cfRule type="expression" dxfId="15" priority="1578">
      <formula>$AI454="OK"</formula>
    </cfRule>
  </conditionalFormatting>
  <conditionalFormatting sqref="AH452:AH458">
    <cfRule type="expression" dxfId="14" priority="62">
      <formula>$AI452="OK"</formula>
    </cfRule>
    <cfRule type="cellIs" dxfId="13" priority="63" operator="greaterThanOrEqual">
      <formula>1</formula>
    </cfRule>
  </conditionalFormatting>
  <conditionalFormatting sqref="AI486:AI761 N556:N603 AI798:AI804 AI817">
    <cfRule type="expression" dxfId="12" priority="1648">
      <formula>$AI486="OK"</formula>
    </cfRule>
  </conditionalFormatting>
  <conditionalFormatting sqref="AJ1145">
    <cfRule type="cellIs" dxfId="11" priority="339" operator="greaterThanOrEqual">
      <formula>1</formula>
    </cfRule>
  </conditionalFormatting>
  <conditionalFormatting sqref="AJ153:AW153">
    <cfRule type="expression" dxfId="10" priority="1719">
      <formula>$AI153="OK"</formula>
    </cfRule>
  </conditionalFormatting>
  <conditionalFormatting sqref="P1110:Z1197">
    <cfRule type="expression" dxfId="9" priority="28759">
      <formula>$AI1534="OK"</formula>
    </cfRule>
  </conditionalFormatting>
  <conditionalFormatting sqref="P1198:Z1198">
    <cfRule type="expression" dxfId="2" priority="2">
      <formula>$AI1621="OK"</formula>
    </cfRule>
  </conditionalFormatting>
  <conditionalFormatting sqref="AB1198:AJ1198">
    <cfRule type="cellIs" dxfId="1" priority="1" operator="greaterThanOrEqual">
      <formula>1</formula>
    </cfRule>
  </conditionalFormatting>
  <conditionalFormatting sqref="P1198:Z1198">
    <cfRule type="expression" dxfId="0" priority="3">
      <formula>$AI1622="OK"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8"/>
  <sheetViews>
    <sheetView topLeftCell="A23" workbookViewId="0">
      <selection activeCell="A28" sqref="A28:XFD28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2">
        <v>188</v>
      </c>
      <c r="B2" s="217" t="s">
        <v>2071</v>
      </c>
      <c r="C2" s="233">
        <v>46188</v>
      </c>
      <c r="D2" s="233">
        <v>46261</v>
      </c>
      <c r="E2" s="234" t="s">
        <v>496</v>
      </c>
      <c r="F2" s="217" t="s">
        <v>2070</v>
      </c>
    </row>
    <row r="3" spans="1:6" x14ac:dyDescent="0.25">
      <c r="A3" s="232">
        <v>190</v>
      </c>
      <c r="B3" s="217" t="s">
        <v>2986</v>
      </c>
      <c r="C3" s="233">
        <v>46205</v>
      </c>
      <c r="D3" s="233"/>
      <c r="E3" s="234" t="s">
        <v>496</v>
      </c>
      <c r="F3" s="217" t="s">
        <v>2987</v>
      </c>
    </row>
    <row r="4" spans="1:6" x14ac:dyDescent="0.25">
      <c r="A4" s="231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5482</v>
      </c>
      <c r="F11" s="107" t="s">
        <v>3292</v>
      </c>
    </row>
    <row r="12" spans="1:6" ht="30" x14ac:dyDescent="0.25">
      <c r="A12" s="241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5667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5">
        <v>133</v>
      </c>
      <c r="B19" s="219" t="s">
        <v>4971</v>
      </c>
      <c r="C19" s="215">
        <v>46249</v>
      </c>
      <c r="D19" s="215"/>
      <c r="E19" s="220" t="s">
        <v>5487</v>
      </c>
      <c r="F19" s="219" t="s">
        <v>4970</v>
      </c>
    </row>
    <row r="20" spans="1:6" x14ac:dyDescent="0.25">
      <c r="A20" s="235">
        <v>899</v>
      </c>
      <c r="B20" s="219" t="s">
        <v>4971</v>
      </c>
      <c r="C20" s="215">
        <v>46270</v>
      </c>
      <c r="D20" s="215"/>
      <c r="E20" s="220" t="s">
        <v>5487</v>
      </c>
      <c r="F20" s="219" t="s">
        <v>4442</v>
      </c>
    </row>
    <row r="21" spans="1:6" ht="45" x14ac:dyDescent="0.25">
      <c r="A21" s="223">
        <v>214</v>
      </c>
      <c r="B21" s="191" t="s">
        <v>5031</v>
      </c>
      <c r="C21" s="189">
        <v>46268</v>
      </c>
      <c r="D21" s="189"/>
      <c r="E21" s="190" t="s">
        <v>4861</v>
      </c>
      <c r="F21" s="188" t="s">
        <v>5032</v>
      </c>
    </row>
    <row r="22" spans="1:6" x14ac:dyDescent="0.25">
      <c r="A22" s="235">
        <v>900</v>
      </c>
      <c r="B22" s="219" t="s">
        <v>5486</v>
      </c>
      <c r="C22" s="215">
        <v>46277</v>
      </c>
      <c r="D22" s="215"/>
      <c r="E22" s="220" t="s">
        <v>5487</v>
      </c>
      <c r="F22" s="219" t="s">
        <v>4442</v>
      </c>
    </row>
    <row r="23" spans="1:6" ht="240" x14ac:dyDescent="0.25">
      <c r="A23" s="224">
        <v>206</v>
      </c>
      <c r="B23" s="191" t="s">
        <v>5275</v>
      </c>
      <c r="C23" s="189"/>
      <c r="D23" s="189"/>
      <c r="E23" s="225" t="s">
        <v>4968</v>
      </c>
      <c r="F23" s="226" t="s">
        <v>5276</v>
      </c>
    </row>
    <row r="24" spans="1:6" x14ac:dyDescent="0.25">
      <c r="A24" s="231">
        <v>216</v>
      </c>
      <c r="B24" s="107" t="s">
        <v>5484</v>
      </c>
      <c r="C24" s="185">
        <v>46288</v>
      </c>
      <c r="D24" s="185"/>
      <c r="E24" s="186" t="s">
        <v>5665</v>
      </c>
      <c r="F24" s="188" t="s">
        <v>5410</v>
      </c>
    </row>
    <row r="25" spans="1:6" x14ac:dyDescent="0.25">
      <c r="A25" s="230">
        <v>217</v>
      </c>
      <c r="B25" s="188" t="s">
        <v>5485</v>
      </c>
      <c r="C25" s="189">
        <v>46295</v>
      </c>
      <c r="D25" s="189"/>
      <c r="E25" s="186" t="s">
        <v>5666</v>
      </c>
      <c r="F25" s="188" t="s">
        <v>5410</v>
      </c>
    </row>
    <row r="26" spans="1:6" x14ac:dyDescent="0.25">
      <c r="A26" s="230">
        <v>215</v>
      </c>
      <c r="B26" s="188" t="s">
        <v>5554</v>
      </c>
      <c r="C26" s="189">
        <v>46295</v>
      </c>
      <c r="D26" s="189"/>
      <c r="E26" s="190" t="s">
        <v>5668</v>
      </c>
      <c r="F26" s="188" t="s">
        <v>5555</v>
      </c>
    </row>
    <row r="27" spans="1:6" x14ac:dyDescent="0.25">
      <c r="A27" s="236">
        <v>218</v>
      </c>
      <c r="B27" s="188" t="s">
        <v>5626</v>
      </c>
      <c r="C27" s="189">
        <v>46290</v>
      </c>
      <c r="D27" s="189"/>
      <c r="E27" s="190" t="s">
        <v>5663</v>
      </c>
      <c r="F27" s="188" t="s">
        <v>4307</v>
      </c>
    </row>
    <row r="28" spans="1:6" x14ac:dyDescent="0.25">
      <c r="A28" s="236">
        <v>213</v>
      </c>
      <c r="B28" s="188" t="s">
        <v>5659</v>
      </c>
      <c r="C28" s="189">
        <v>46278</v>
      </c>
      <c r="D28" s="189"/>
      <c r="E28" s="190" t="s">
        <v>5664</v>
      </c>
      <c r="F28" s="188" t="s">
        <v>5662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8" t="e" vm="1">
        <v>#VALUE!</v>
      </c>
      <c r="D2" s="289"/>
      <c r="E2" s="292" t="s">
        <v>320</v>
      </c>
      <c r="F2" s="292"/>
      <c r="G2" s="292"/>
      <c r="H2" s="292"/>
      <c r="I2" s="292"/>
      <c r="J2" s="292"/>
      <c r="K2" s="292"/>
      <c r="L2" s="292"/>
      <c r="M2" s="292"/>
      <c r="N2" s="292"/>
      <c r="O2" s="292"/>
      <c r="P2" s="292"/>
      <c r="Q2" s="292"/>
      <c r="R2" s="292"/>
      <c r="S2" s="292"/>
      <c r="T2" s="293"/>
      <c r="U2" s="296" t="s">
        <v>246</v>
      </c>
      <c r="V2" s="286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0"/>
      <c r="D3" s="291"/>
      <c r="E3" s="294"/>
      <c r="F3" s="294"/>
      <c r="G3" s="294"/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5"/>
      <c r="U3" s="297"/>
      <c r="V3" s="287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6" t="s">
        <v>2070</v>
      </c>
      <c r="D6" s="259" t="s">
        <v>2069</v>
      </c>
      <c r="E6" s="262" t="s">
        <v>2071</v>
      </c>
      <c r="F6" s="265">
        <v>46183</v>
      </c>
      <c r="G6" s="277">
        <v>46220</v>
      </c>
      <c r="H6" s="280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74">
        <f>T9/T6</f>
        <v>0.88949747289203585</v>
      </c>
      <c r="V6" s="25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7"/>
      <c r="D7" s="260"/>
      <c r="E7" s="263"/>
      <c r="F7" s="266"/>
      <c r="G7" s="278"/>
      <c r="H7" s="281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5"/>
      <c r="V7" s="25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7"/>
      <c r="D8" s="260"/>
      <c r="E8" s="263"/>
      <c r="F8" s="266"/>
      <c r="G8" s="278"/>
      <c r="H8" s="281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5"/>
      <c r="V8" s="25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7"/>
      <c r="D9" s="260"/>
      <c r="E9" s="263"/>
      <c r="F9" s="266"/>
      <c r="G9" s="278"/>
      <c r="H9" s="281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5"/>
      <c r="V9" s="25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8"/>
      <c r="D10" s="261"/>
      <c r="E10" s="264"/>
      <c r="F10" s="267"/>
      <c r="G10" s="279"/>
      <c r="H10" s="282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6"/>
      <c r="V10" s="25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6" t="s">
        <v>2987</v>
      </c>
      <c r="D12" s="259" t="s">
        <v>2551</v>
      </c>
      <c r="E12" s="262" t="s">
        <v>2986</v>
      </c>
      <c r="F12" s="265">
        <v>46205</v>
      </c>
      <c r="G12" s="277"/>
      <c r="H12" s="283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74">
        <f>T15/T12</f>
        <v>0.76586952907929418</v>
      </c>
      <c r="V12" s="25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7"/>
      <c r="D13" s="260"/>
      <c r="E13" s="263"/>
      <c r="F13" s="266"/>
      <c r="G13" s="278"/>
      <c r="H13" s="284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5"/>
      <c r="V13" s="25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7"/>
      <c r="D14" s="260"/>
      <c r="E14" s="263"/>
      <c r="F14" s="266"/>
      <c r="G14" s="278"/>
      <c r="H14" s="284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5"/>
      <c r="V14" s="25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7"/>
      <c r="D15" s="260"/>
      <c r="E15" s="263"/>
      <c r="F15" s="266"/>
      <c r="G15" s="278"/>
      <c r="H15" s="284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5"/>
      <c r="V15" s="25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8"/>
      <c r="D16" s="261"/>
      <c r="E16" s="264"/>
      <c r="F16" s="267"/>
      <c r="G16" s="279"/>
      <c r="H16" s="285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6"/>
      <c r="V16" s="25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6" t="s">
        <v>2983</v>
      </c>
      <c r="D18" s="259" t="s">
        <v>2984</v>
      </c>
      <c r="E18" s="262" t="s">
        <v>2985</v>
      </c>
      <c r="F18" s="265">
        <v>46289</v>
      </c>
      <c r="G18" s="277"/>
      <c r="H18" s="271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74">
        <f>T21/T18</f>
        <v>0.78706563360593562</v>
      </c>
      <c r="V18" s="25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7"/>
      <c r="D19" s="260"/>
      <c r="E19" s="263"/>
      <c r="F19" s="266"/>
      <c r="G19" s="278"/>
      <c r="H19" s="272"/>
      <c r="I19" s="129" t="s">
        <v>3028</v>
      </c>
      <c r="J19" s="130">
        <f t="shared" ref="J19" si="17">J18-J20</f>
        <v>7.8932999999999982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33.263999999999996</v>
      </c>
      <c r="U19" s="275"/>
      <c r="V19" s="25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7"/>
      <c r="D20" s="260"/>
      <c r="E20" s="263"/>
      <c r="F20" s="266"/>
      <c r="G20" s="278"/>
      <c r="H20" s="272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75"/>
      <c r="V20" s="25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7"/>
      <c r="D21" s="260"/>
      <c r="E21" s="263"/>
      <c r="F21" s="266"/>
      <c r="G21" s="278"/>
      <c r="H21" s="272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75"/>
      <c r="V21" s="25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8"/>
      <c r="D22" s="261"/>
      <c r="E22" s="264"/>
      <c r="F22" s="267"/>
      <c r="G22" s="279"/>
      <c r="H22" s="273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7.1289999999999978</v>
      </c>
      <c r="U22" s="276"/>
      <c r="V22" s="25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6" t="s">
        <v>3292</v>
      </c>
      <c r="D24" s="259" t="s">
        <v>3291</v>
      </c>
      <c r="E24" s="262" t="s">
        <v>3293</v>
      </c>
      <c r="F24" s="265">
        <v>46336</v>
      </c>
      <c r="G24" s="268"/>
      <c r="H24" s="27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74">
        <v>0</v>
      </c>
      <c r="V24" s="25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7"/>
      <c r="D25" s="260"/>
      <c r="E25" s="263"/>
      <c r="F25" s="266"/>
      <c r="G25" s="269"/>
      <c r="H25" s="27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5"/>
      <c r="V25" s="25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7"/>
      <c r="D26" s="260"/>
      <c r="E26" s="263"/>
      <c r="F26" s="266"/>
      <c r="G26" s="269"/>
      <c r="H26" s="27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5"/>
      <c r="V26" s="25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7"/>
      <c r="D27" s="260"/>
      <c r="E27" s="263"/>
      <c r="F27" s="266"/>
      <c r="G27" s="269"/>
      <c r="H27" s="27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5"/>
      <c r="V27" s="25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8"/>
      <c r="D28" s="261"/>
      <c r="E28" s="264"/>
      <c r="F28" s="267"/>
      <c r="G28" s="270"/>
      <c r="H28" s="27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6"/>
      <c r="V28" s="25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6" t="s">
        <v>2993</v>
      </c>
      <c r="D30" s="259" t="s">
        <v>2989</v>
      </c>
      <c r="E30" s="262" t="s">
        <v>2994</v>
      </c>
      <c r="F30" s="265">
        <v>46219</v>
      </c>
      <c r="G30" s="268"/>
      <c r="H30" s="280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74">
        <v>0</v>
      </c>
      <c r="V30" s="25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7"/>
      <c r="D31" s="260"/>
      <c r="E31" s="263"/>
      <c r="F31" s="266"/>
      <c r="G31" s="269"/>
      <c r="H31" s="281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5"/>
      <c r="V31" s="25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7"/>
      <c r="D32" s="260"/>
      <c r="E32" s="263"/>
      <c r="F32" s="266"/>
      <c r="G32" s="269"/>
      <c r="H32" s="281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5"/>
      <c r="V32" s="25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7"/>
      <c r="D33" s="260"/>
      <c r="E33" s="263"/>
      <c r="F33" s="266"/>
      <c r="G33" s="269"/>
      <c r="H33" s="281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5"/>
      <c r="V33" s="25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8"/>
      <c r="D34" s="261"/>
      <c r="E34" s="264"/>
      <c r="F34" s="267"/>
      <c r="G34" s="270"/>
      <c r="H34" s="282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6"/>
      <c r="V34" s="25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6" t="s">
        <v>2995</v>
      </c>
      <c r="D36" s="259" t="s">
        <v>2990</v>
      </c>
      <c r="E36" s="262" t="s">
        <v>2992</v>
      </c>
      <c r="F36" s="265">
        <v>46198</v>
      </c>
      <c r="G36" s="298"/>
      <c r="H36" s="283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74">
        <v>0</v>
      </c>
      <c r="V36" s="25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7"/>
      <c r="D37" s="260"/>
      <c r="E37" s="263"/>
      <c r="F37" s="266"/>
      <c r="G37" s="299"/>
      <c r="H37" s="284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5"/>
      <c r="V37" s="25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7"/>
      <c r="D38" s="260"/>
      <c r="E38" s="263"/>
      <c r="F38" s="266"/>
      <c r="G38" s="299"/>
      <c r="H38" s="284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5"/>
      <c r="V38" s="25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7"/>
      <c r="D39" s="260"/>
      <c r="E39" s="263"/>
      <c r="F39" s="266"/>
      <c r="G39" s="299"/>
      <c r="H39" s="284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5"/>
      <c r="V39" s="25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8"/>
      <c r="D40" s="261"/>
      <c r="E40" s="264"/>
      <c r="F40" s="267"/>
      <c r="G40" s="300"/>
      <c r="H40" s="285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6"/>
      <c r="V40" s="25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6" t="s">
        <v>3006</v>
      </c>
      <c r="D42" s="259" t="s">
        <v>3004</v>
      </c>
      <c r="E42" s="262" t="s">
        <v>3007</v>
      </c>
      <c r="F42" s="265">
        <v>46188</v>
      </c>
      <c r="G42" s="298">
        <v>46220</v>
      </c>
      <c r="H42" s="280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74">
        <v>0</v>
      </c>
      <c r="V42" s="25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7"/>
      <c r="D43" s="260"/>
      <c r="E43" s="263"/>
      <c r="F43" s="266"/>
      <c r="G43" s="299"/>
      <c r="H43" s="281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5"/>
      <c r="V43" s="25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7"/>
      <c r="D44" s="260"/>
      <c r="E44" s="263"/>
      <c r="F44" s="266"/>
      <c r="G44" s="299"/>
      <c r="H44" s="281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5"/>
      <c r="V44" s="25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7"/>
      <c r="D45" s="260"/>
      <c r="E45" s="263"/>
      <c r="F45" s="266"/>
      <c r="G45" s="299"/>
      <c r="H45" s="281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5"/>
      <c r="V45" s="25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8"/>
      <c r="D46" s="261"/>
      <c r="E46" s="264"/>
      <c r="F46" s="267"/>
      <c r="G46" s="300"/>
      <c r="H46" s="282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6"/>
      <c r="V46" s="25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6" t="s">
        <v>3009</v>
      </c>
      <c r="D48" s="259" t="s">
        <v>3005</v>
      </c>
      <c r="E48" s="262" t="s">
        <v>3008</v>
      </c>
      <c r="F48" s="265">
        <v>46202</v>
      </c>
      <c r="G48" s="298">
        <v>46233</v>
      </c>
      <c r="H48" s="280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74">
        <v>0</v>
      </c>
      <c r="V48" s="25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7"/>
      <c r="D49" s="260"/>
      <c r="E49" s="263"/>
      <c r="F49" s="266"/>
      <c r="G49" s="299"/>
      <c r="H49" s="281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5"/>
      <c r="V49" s="25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7"/>
      <c r="D50" s="260"/>
      <c r="E50" s="263"/>
      <c r="F50" s="266"/>
      <c r="G50" s="299"/>
      <c r="H50" s="281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5"/>
      <c r="V50" s="25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7"/>
      <c r="D51" s="260"/>
      <c r="E51" s="263"/>
      <c r="F51" s="266"/>
      <c r="G51" s="299"/>
      <c r="H51" s="281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5"/>
      <c r="V51" s="25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8"/>
      <c r="D52" s="261"/>
      <c r="E52" s="264"/>
      <c r="F52" s="267"/>
      <c r="G52" s="300"/>
      <c r="H52" s="282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6"/>
      <c r="V52" s="25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6" t="s">
        <v>3009</v>
      </c>
      <c r="D54" s="259" t="s">
        <v>3111</v>
      </c>
      <c r="E54" s="262" t="s">
        <v>3164</v>
      </c>
      <c r="F54" s="265">
        <v>46226</v>
      </c>
      <c r="G54" s="268"/>
      <c r="H54" s="280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74">
        <v>0</v>
      </c>
      <c r="V54" s="25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7"/>
      <c r="D55" s="260"/>
      <c r="E55" s="263"/>
      <c r="F55" s="266"/>
      <c r="G55" s="269"/>
      <c r="H55" s="281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5"/>
      <c r="V55" s="25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7"/>
      <c r="D56" s="260"/>
      <c r="E56" s="263"/>
      <c r="F56" s="266"/>
      <c r="G56" s="269"/>
      <c r="H56" s="281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5"/>
      <c r="V56" s="25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7"/>
      <c r="D57" s="260"/>
      <c r="E57" s="263"/>
      <c r="F57" s="266"/>
      <c r="G57" s="269"/>
      <c r="H57" s="281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5"/>
      <c r="V57" s="25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8"/>
      <c r="D58" s="261"/>
      <c r="E58" s="264"/>
      <c r="F58" s="267"/>
      <c r="G58" s="270"/>
      <c r="H58" s="282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6"/>
      <c r="V58" s="25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6" t="s">
        <v>3165</v>
      </c>
      <c r="D60" s="259" t="s">
        <v>3163</v>
      </c>
      <c r="E60" s="262" t="s">
        <v>3166</v>
      </c>
      <c r="F60" s="265">
        <v>46235</v>
      </c>
      <c r="G60" s="268"/>
      <c r="H60" s="27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74">
        <v>0</v>
      </c>
      <c r="V60" s="25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7"/>
      <c r="D61" s="260"/>
      <c r="E61" s="263"/>
      <c r="F61" s="266"/>
      <c r="G61" s="269"/>
      <c r="H61" s="27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5"/>
      <c r="V61" s="25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7"/>
      <c r="D62" s="260"/>
      <c r="E62" s="263"/>
      <c r="F62" s="266"/>
      <c r="G62" s="269"/>
      <c r="H62" s="27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5"/>
      <c r="V62" s="25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7"/>
      <c r="D63" s="260"/>
      <c r="E63" s="263"/>
      <c r="F63" s="266"/>
      <c r="G63" s="269"/>
      <c r="H63" s="27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5"/>
      <c r="V63" s="25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8"/>
      <c r="D64" s="261"/>
      <c r="E64" s="264"/>
      <c r="F64" s="267"/>
      <c r="G64" s="270"/>
      <c r="H64" s="27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6"/>
      <c r="V64" s="25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6" t="s">
        <v>4307</v>
      </c>
      <c r="D66" s="259" t="s">
        <v>4299</v>
      </c>
      <c r="E66" s="262" t="s">
        <v>4308</v>
      </c>
      <c r="F66" s="265">
        <v>46233</v>
      </c>
      <c r="G66" s="268"/>
      <c r="H66" s="27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74">
        <v>0</v>
      </c>
      <c r="V66" s="25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7"/>
      <c r="D67" s="260"/>
      <c r="E67" s="263"/>
      <c r="F67" s="266"/>
      <c r="G67" s="269"/>
      <c r="H67" s="27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75"/>
      <c r="V67" s="25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7"/>
      <c r="D68" s="260"/>
      <c r="E68" s="263"/>
      <c r="F68" s="266"/>
      <c r="G68" s="269"/>
      <c r="H68" s="27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75"/>
      <c r="V68" s="25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7"/>
      <c r="D69" s="260"/>
      <c r="E69" s="263"/>
      <c r="F69" s="266"/>
      <c r="G69" s="269"/>
      <c r="H69" s="27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75"/>
      <c r="V69" s="25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8"/>
      <c r="D70" s="261"/>
      <c r="E70" s="264"/>
      <c r="F70" s="267"/>
      <c r="G70" s="270"/>
      <c r="H70" s="27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76"/>
      <c r="V70" s="25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6" t="s">
        <v>3165</v>
      </c>
      <c r="D72" s="259" t="s">
        <v>4306</v>
      </c>
      <c r="E72" s="262" t="s">
        <v>4309</v>
      </c>
      <c r="F72" s="265">
        <v>46280</v>
      </c>
      <c r="G72" s="268"/>
      <c r="H72" s="27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74">
        <v>0</v>
      </c>
      <c r="V72" s="25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7"/>
      <c r="D73" s="260"/>
      <c r="E73" s="263"/>
      <c r="F73" s="266"/>
      <c r="G73" s="269"/>
      <c r="H73" s="27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5"/>
      <c r="V73" s="25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7"/>
      <c r="D74" s="260"/>
      <c r="E74" s="263"/>
      <c r="F74" s="266"/>
      <c r="G74" s="269"/>
      <c r="H74" s="27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5"/>
      <c r="V74" s="25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7"/>
      <c r="D75" s="260"/>
      <c r="E75" s="263"/>
      <c r="F75" s="266"/>
      <c r="G75" s="269"/>
      <c r="H75" s="27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5"/>
      <c r="V75" s="25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8"/>
      <c r="D76" s="261"/>
      <c r="E76" s="264"/>
      <c r="F76" s="267"/>
      <c r="G76" s="270"/>
      <c r="H76" s="27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6"/>
      <c r="V76" s="25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301" t="s">
        <v>326</v>
      </c>
      <c r="E79" s="303" t="s">
        <v>891</v>
      </c>
      <c r="F79" s="304"/>
      <c r="G79" s="304"/>
      <c r="H79" s="304"/>
      <c r="I79" s="304"/>
      <c r="J79" s="305"/>
      <c r="K79" s="306" t="s">
        <v>331</v>
      </c>
      <c r="L79" s="307"/>
      <c r="M79" s="307"/>
      <c r="N79" s="308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302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8.8692999999999955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35.762699999999995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15.528999999999996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83"/>
  <sheetViews>
    <sheetView topLeftCell="D1" zoomScaleNormal="100" workbookViewId="0">
      <pane ySplit="1" topLeftCell="A2" activePane="bottomLeft" state="frozen"/>
      <selection pane="bottomLeft" activeCell="D5279" sqref="D527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9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9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5387</v>
      </c>
      <c r="F5141" s="1" t="s">
        <v>5388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9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5387</v>
      </c>
      <c r="F5142" s="1" t="s">
        <v>5388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9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9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9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9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9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9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9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9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5387</v>
      </c>
      <c r="F5150" s="1" t="s">
        <v>5388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9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5387</v>
      </c>
      <c r="F5151" s="1" t="s">
        <v>5388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9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9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9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9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9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9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5389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9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9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5390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9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9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5391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9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5392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9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5393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9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5394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9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5395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9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5396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9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5397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9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5398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9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5399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9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5400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9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5401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9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5418</v>
      </c>
      <c r="D5175" s="1"/>
      <c r="E5175" s="1"/>
      <c r="F5175" s="1" t="s">
        <v>5419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5418</v>
      </c>
      <c r="D5176" s="1"/>
      <c r="E5176" s="1"/>
      <c r="F5176" s="1" t="s">
        <v>5420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5418</v>
      </c>
      <c r="D5177" s="1"/>
      <c r="E5177" s="1"/>
      <c r="F5177" s="1" t="s">
        <v>5421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5422</v>
      </c>
      <c r="D5178" s="1"/>
      <c r="E5178" s="1"/>
      <c r="F5178" s="1" t="s">
        <v>5423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5422</v>
      </c>
      <c r="D5179" s="1"/>
      <c r="E5179" s="1"/>
      <c r="F5179" s="1" t="s">
        <v>5424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5422</v>
      </c>
      <c r="D5180" s="1"/>
      <c r="E5180" s="1"/>
      <c r="F5180" s="1" t="s">
        <v>5425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5426</v>
      </c>
      <c r="D5181" s="1"/>
      <c r="E5181" s="1"/>
      <c r="F5181" s="1" t="s">
        <v>5427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5426</v>
      </c>
      <c r="D5182" s="1"/>
      <c r="E5182" s="1"/>
      <c r="F5182" s="1" t="s">
        <v>5428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5426</v>
      </c>
      <c r="D5183" s="1"/>
      <c r="E5183" s="1"/>
      <c r="F5183" s="1" t="s">
        <v>5429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5430</v>
      </c>
      <c r="D5184" s="1"/>
      <c r="E5184" s="1"/>
      <c r="F5184" s="1" t="s">
        <v>5431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5430</v>
      </c>
      <c r="D5185" s="1"/>
      <c r="E5185" s="1"/>
      <c r="F5185" s="1" t="s">
        <v>5432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5433</v>
      </c>
      <c r="D5186" s="1"/>
      <c r="E5186" s="1"/>
      <c r="F5186" s="1" t="s">
        <v>5434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5433</v>
      </c>
      <c r="D5187" s="1"/>
      <c r="E5187" s="1"/>
      <c r="F5187" s="1" t="s">
        <v>5435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5433</v>
      </c>
      <c r="D5188" s="1"/>
      <c r="E5188" s="1"/>
      <c r="F5188" s="1" t="s">
        <v>5436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5433</v>
      </c>
      <c r="D5189" s="1"/>
      <c r="E5189" s="1"/>
      <c r="F5189" s="1" t="s">
        <v>5437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5433</v>
      </c>
      <c r="D5190" s="1"/>
      <c r="E5190" s="1"/>
      <c r="F5190" s="1" t="s">
        <v>5438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5433</v>
      </c>
      <c r="D5191" s="1"/>
      <c r="E5191" s="1"/>
      <c r="F5191" s="1" t="s">
        <v>5439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5433</v>
      </c>
      <c r="D5192" s="1"/>
      <c r="E5192" s="1"/>
      <c r="F5192" s="1" t="s">
        <v>5440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5433</v>
      </c>
      <c r="D5193" s="1"/>
      <c r="E5193" s="1"/>
      <c r="F5193" s="1" t="s">
        <v>5441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5433</v>
      </c>
      <c r="D5194" s="1"/>
      <c r="E5194" s="1"/>
      <c r="F5194" s="1" t="s">
        <v>5442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5433</v>
      </c>
      <c r="D5195" s="1"/>
      <c r="E5195" s="1"/>
      <c r="F5195" s="1" t="s">
        <v>5443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5433</v>
      </c>
      <c r="D5196" s="1"/>
      <c r="E5196" s="1"/>
      <c r="F5196" s="1" t="s">
        <v>5444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5445</v>
      </c>
      <c r="D5197" s="1"/>
      <c r="E5197" s="1"/>
      <c r="F5197" s="1" t="s">
        <v>5446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5445</v>
      </c>
      <c r="D5198" s="1"/>
      <c r="E5198" s="1"/>
      <c r="F5198" s="1" t="s">
        <v>5447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5445</v>
      </c>
      <c r="D5199" s="1"/>
      <c r="E5199" s="1"/>
      <c r="F5199" s="1" t="s">
        <v>5448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5449</v>
      </c>
      <c r="D5200" s="1"/>
      <c r="E5200" s="1"/>
      <c r="F5200" s="1" t="s">
        <v>5450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5449</v>
      </c>
      <c r="D5201" s="1"/>
      <c r="E5201" s="1"/>
      <c r="F5201" s="1" t="s">
        <v>5451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5449</v>
      </c>
      <c r="D5202" s="1"/>
      <c r="E5202" s="1"/>
      <c r="F5202" s="1" t="s">
        <v>5452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5453</v>
      </c>
      <c r="E5203" s="1" t="s">
        <v>2</v>
      </c>
      <c r="F5203" s="1" t="s">
        <v>5454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5453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5453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5453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5453</v>
      </c>
      <c r="E5207" s="1" t="s">
        <v>100</v>
      </c>
      <c r="F5207" s="1" t="s">
        <v>5455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5453</v>
      </c>
      <c r="E5208" s="1" t="s">
        <v>173</v>
      </c>
      <c r="F5208" s="1" t="s">
        <v>5456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5453</v>
      </c>
      <c r="E5209" s="1" t="s">
        <v>461</v>
      </c>
      <c r="F5209" s="1" t="s">
        <v>5457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5453</v>
      </c>
      <c r="E5210" s="1" t="s">
        <v>464</v>
      </c>
      <c r="F5210" s="1" t="s">
        <v>5458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5453</v>
      </c>
      <c r="E5211" s="1" t="s">
        <v>1103</v>
      </c>
      <c r="F5211" s="1" t="s">
        <v>5459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5453</v>
      </c>
      <c r="E5212" s="1" t="s">
        <v>2</v>
      </c>
      <c r="F5212" s="1" t="s">
        <v>5454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5453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5453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5453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5453</v>
      </c>
      <c r="E5216" s="1" t="s">
        <v>100</v>
      </c>
      <c r="F5216" s="1" t="s">
        <v>5455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5453</v>
      </c>
      <c r="E5217" s="1" t="s">
        <v>173</v>
      </c>
      <c r="F5217" s="1" t="s">
        <v>5456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5453</v>
      </c>
      <c r="E5218" s="1" t="s">
        <v>461</v>
      </c>
      <c r="F5218" s="1" t="s">
        <v>5457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5453</v>
      </c>
      <c r="E5219" s="1" t="s">
        <v>464</v>
      </c>
      <c r="F5219" s="1" t="s">
        <v>5458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5453</v>
      </c>
      <c r="E5220" s="1" t="s">
        <v>1103</v>
      </c>
      <c r="F5220" s="1" t="s">
        <v>5459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5460</v>
      </c>
      <c r="E5223" s="1"/>
      <c r="F5223" s="1" t="s">
        <v>5461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5462</v>
      </c>
      <c r="E5224" s="1"/>
      <c r="F5224" s="1" t="s">
        <v>5463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5460</v>
      </c>
      <c r="E5225" s="1"/>
      <c r="F5225" s="1" t="s">
        <v>5464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5460</v>
      </c>
      <c r="E5226" s="1"/>
      <c r="F5226" s="1" t="s">
        <v>5465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5466</v>
      </c>
      <c r="D5227" s="1"/>
      <c r="E5227" s="1"/>
      <c r="F5227" s="1" t="s">
        <v>5467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5468</v>
      </c>
      <c r="D5228" s="1"/>
      <c r="E5228" s="1"/>
      <c r="F5228" s="1" t="s">
        <v>5469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5470</v>
      </c>
      <c r="D5229" s="1"/>
      <c r="E5229" s="1" t="s">
        <v>2</v>
      </c>
      <c r="F5229" s="1" t="s">
        <v>5471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5470</v>
      </c>
      <c r="D5230" s="1"/>
      <c r="E5230" s="1" t="s">
        <v>2</v>
      </c>
      <c r="F5230" s="1" t="s">
        <v>5471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5472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5472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5473</v>
      </c>
      <c r="D5237" s="1"/>
      <c r="E5237" s="1" t="s">
        <v>2193</v>
      </c>
      <c r="F5237" s="1" t="s">
        <v>5474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5473</v>
      </c>
      <c r="D5238" s="1"/>
      <c r="E5238" s="1" t="s">
        <v>2193</v>
      </c>
      <c r="F5238" s="1" t="s">
        <v>5474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5475</v>
      </c>
      <c r="D5239" s="1"/>
      <c r="E5239" s="1" t="s">
        <v>5476</v>
      </c>
      <c r="F5239" s="1" t="s">
        <v>5474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5475</v>
      </c>
      <c r="D5240" s="1"/>
      <c r="E5240" s="1" t="s">
        <v>5476</v>
      </c>
      <c r="F5240" s="1" t="s">
        <v>5474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5477</v>
      </c>
      <c r="D5241" s="1"/>
      <c r="E5241" s="1" t="s">
        <v>5476</v>
      </c>
      <c r="F5241" s="1" t="s">
        <v>5474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5477</v>
      </c>
      <c r="D5242" s="1"/>
      <c r="E5242" s="1" t="s">
        <v>5476</v>
      </c>
      <c r="F5242" s="1" t="s">
        <v>5474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5478</v>
      </c>
      <c r="D5243" s="1"/>
      <c r="E5243" s="1" t="s">
        <v>5479</v>
      </c>
      <c r="F5243" s="1" t="s">
        <v>5480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5478</v>
      </c>
      <c r="D5244" s="1"/>
      <c r="E5244" s="1" t="s">
        <v>5479</v>
      </c>
      <c r="F5244" s="1" t="s">
        <v>5480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5481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7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7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7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7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7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7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7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7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7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7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7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7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7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7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7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7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7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7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7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7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7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7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7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7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5631</v>
      </c>
      <c r="J5273" s="1">
        <v>1</v>
      </c>
      <c r="K5273" s="1">
        <v>18</v>
      </c>
      <c r="L5273" s="42">
        <v>1</v>
      </c>
      <c r="M5273" s="237">
        <v>46273</v>
      </c>
      <c r="N5273" s="1" t="s">
        <v>4424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5631</v>
      </c>
      <c r="J5274" s="1">
        <v>5.2</v>
      </c>
      <c r="K5274" s="1">
        <v>275.60000000000002</v>
      </c>
      <c r="L5274" s="42">
        <v>1</v>
      </c>
      <c r="M5274" s="237">
        <v>46273</v>
      </c>
      <c r="N5274" s="1" t="s">
        <v>4424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5631</v>
      </c>
      <c r="J5275" s="1">
        <v>19.100000000000001</v>
      </c>
      <c r="K5275" s="1">
        <v>133.70000000000002</v>
      </c>
      <c r="L5275" s="42">
        <v>1</v>
      </c>
      <c r="M5275" s="237">
        <v>46273</v>
      </c>
      <c r="N5275" s="1" t="s">
        <v>4424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5631</v>
      </c>
      <c r="J5276" s="1">
        <v>18.2</v>
      </c>
      <c r="K5276" s="1">
        <v>109.19999999999999</v>
      </c>
      <c r="L5276" s="42">
        <v>1</v>
      </c>
      <c r="M5276" s="237">
        <v>46273</v>
      </c>
      <c r="N5276" s="1" t="s">
        <v>4424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5631</v>
      </c>
      <c r="J5277" s="1">
        <v>6</v>
      </c>
      <c r="K5277" s="1">
        <v>48</v>
      </c>
      <c r="L5277" s="42">
        <v>1</v>
      </c>
      <c r="M5277" s="237">
        <v>46273</v>
      </c>
      <c r="N5277" s="1" t="s">
        <v>4424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5631</v>
      </c>
      <c r="J5278" s="1">
        <v>5</v>
      </c>
      <c r="K5278" s="1">
        <v>70</v>
      </c>
      <c r="L5278" s="42">
        <v>1</v>
      </c>
      <c r="M5278" s="237">
        <v>46273</v>
      </c>
      <c r="N5278" s="1" t="s">
        <v>4424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5631</v>
      </c>
      <c r="J5279" s="1">
        <v>6</v>
      </c>
      <c r="K5279" s="1">
        <v>138</v>
      </c>
      <c r="L5279" s="42">
        <v>1</v>
      </c>
      <c r="M5279" s="237">
        <v>46273</v>
      </c>
      <c r="N5279" s="1" t="s">
        <v>4424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5632</v>
      </c>
      <c r="J5280" s="1">
        <v>5.2</v>
      </c>
      <c r="K5280" s="1">
        <v>10.4</v>
      </c>
      <c r="L5280" s="42">
        <v>1</v>
      </c>
      <c r="M5280" s="237">
        <v>46273</v>
      </c>
      <c r="N5280" s="1" t="s">
        <v>5012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5633</v>
      </c>
      <c r="J5281" s="1">
        <v>5</v>
      </c>
      <c r="K5281" s="1">
        <v>50</v>
      </c>
      <c r="L5281" s="42">
        <v>1</v>
      </c>
      <c r="M5281" s="237">
        <v>46273</v>
      </c>
      <c r="N5281" s="1" t="s">
        <v>5037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5669</v>
      </c>
      <c r="E5282" s="1"/>
      <c r="F5282" s="1" t="s">
        <v>4300</v>
      </c>
      <c r="G5282" s="1">
        <v>6</v>
      </c>
      <c r="H5282" s="1" t="s">
        <v>19</v>
      </c>
      <c r="I5282" s="1" t="s">
        <v>5670</v>
      </c>
      <c r="J5282" s="1">
        <v>12.5</v>
      </c>
      <c r="K5282" s="1">
        <v>75</v>
      </c>
      <c r="L5282" s="42">
        <v>1</v>
      </c>
      <c r="M5282" s="237">
        <v>46262</v>
      </c>
      <c r="N5282" s="1" t="s">
        <v>4299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5671</v>
      </c>
      <c r="E5283" s="1"/>
      <c r="F5283" s="1" t="s">
        <v>4297</v>
      </c>
      <c r="G5283" s="1">
        <v>6</v>
      </c>
      <c r="H5283" s="1" t="s">
        <v>19</v>
      </c>
      <c r="I5283" s="1" t="s">
        <v>5670</v>
      </c>
      <c r="J5283" s="1">
        <v>10</v>
      </c>
      <c r="K5283" s="1">
        <v>60</v>
      </c>
      <c r="L5283" s="42">
        <v>1</v>
      </c>
      <c r="M5283" s="237">
        <v>46262</v>
      </c>
      <c r="N5283" s="1" t="s">
        <v>4299</v>
      </c>
    </row>
  </sheetData>
  <autoFilter ref="A1:O5283" xr:uid="{E826462E-1715-45FB-827E-B16DF1FB20B2}"/>
  <phoneticPr fontId="6" type="noConversion"/>
  <conditionalFormatting sqref="B764:B4406">
    <cfRule type="expression" dxfId="8" priority="5">
      <formula>$AH764="OK"</formula>
    </cfRule>
  </conditionalFormatting>
  <conditionalFormatting sqref="B4407:B4408 B4749:B5283">
    <cfRule type="expression" dxfId="7" priority="4">
      <formula>$AI4407="OK"</formula>
    </cfRule>
  </conditionalFormatting>
  <conditionalFormatting sqref="B4409:B4748">
    <cfRule type="expression" dxfId="6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5" priority="4">
      <formula>$AI366="OK"</formula>
    </cfRule>
  </conditionalFormatting>
  <conditionalFormatting sqref="D385:D387">
    <cfRule type="expression" dxfId="4" priority="1">
      <formula>$AI385="OK"</formula>
    </cfRule>
  </conditionalFormatting>
  <conditionalFormatting sqref="F192">
    <cfRule type="expression" dxfId="3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2026-09-01T14:26:19Z</cp:lastPrinted>
  <dcterms:created xsi:type="dcterms:W3CDTF">2022-04-15T01:30:45Z</dcterms:created>
  <dcterms:modified xsi:type="dcterms:W3CDTF">2026-09-10T16:14:01Z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