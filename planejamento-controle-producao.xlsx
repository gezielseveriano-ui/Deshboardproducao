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3019" documentId="8_{FDD42E6F-94E1-48F3-8613-54A91AB43A68}" xr6:coauthVersionLast="47" xr6:coauthVersionMax="47" xr10:uidLastSave="{15577ECF-8CA7-435D-9B9A-7E76AD1F4924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" i="1" l="1"/>
  <c r="N5137" i="6"/>
  <c r="N5138" i="6"/>
  <c r="N5136" i="6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W869" i="1"/>
  <c r="V869" i="1"/>
  <c r="U869" i="1"/>
  <c r="Y869" i="1" s="1"/>
  <c r="Q869" i="1"/>
  <c r="H869" i="1"/>
  <c r="W868" i="1"/>
  <c r="V868" i="1"/>
  <c r="U868" i="1"/>
  <c r="Y868" i="1" s="1"/>
  <c r="Q868" i="1"/>
  <c r="H868" i="1"/>
  <c r="S868" i="1" s="1"/>
  <c r="T868" i="1" s="1"/>
  <c r="W867" i="1"/>
  <c r="V867" i="1"/>
  <c r="U867" i="1"/>
  <c r="Y867" i="1" s="1"/>
  <c r="Q867" i="1"/>
  <c r="H867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6" i="1"/>
  <c r="V866" i="1"/>
  <c r="U866" i="1"/>
  <c r="Y866" i="1" s="1"/>
  <c r="Q866" i="1"/>
  <c r="H866" i="1"/>
  <c r="S866" i="1" s="1"/>
  <c r="T866" i="1" s="1"/>
  <c r="W865" i="1"/>
  <c r="V865" i="1"/>
  <c r="U865" i="1"/>
  <c r="X865" i="1" s="1"/>
  <c r="Q865" i="1"/>
  <c r="H865" i="1"/>
  <c r="R865" i="1" s="1"/>
  <c r="W864" i="1"/>
  <c r="V864" i="1"/>
  <c r="U864" i="1"/>
  <c r="Y864" i="1" s="1"/>
  <c r="Q864" i="1"/>
  <c r="H864" i="1"/>
  <c r="S864" i="1" s="1"/>
  <c r="T864" i="1" s="1"/>
  <c r="W863" i="1"/>
  <c r="V863" i="1"/>
  <c r="U863" i="1"/>
  <c r="Y863" i="1" s="1"/>
  <c r="Q863" i="1"/>
  <c r="H863" i="1"/>
  <c r="S863" i="1" s="1"/>
  <c r="T863" i="1" s="1"/>
  <c r="W862" i="1"/>
  <c r="V862" i="1"/>
  <c r="U862" i="1"/>
  <c r="Y862" i="1" s="1"/>
  <c r="Q862" i="1"/>
  <c r="H862" i="1"/>
  <c r="R862" i="1" s="1"/>
  <c r="W861" i="1"/>
  <c r="V861" i="1"/>
  <c r="U861" i="1"/>
  <c r="Y861" i="1" s="1"/>
  <c r="Q861" i="1"/>
  <c r="H861" i="1"/>
  <c r="W860" i="1"/>
  <c r="V860" i="1"/>
  <c r="U860" i="1"/>
  <c r="Y860" i="1" s="1"/>
  <c r="Q860" i="1"/>
  <c r="H860" i="1"/>
  <c r="W826" i="1"/>
  <c r="V826" i="1"/>
  <c r="U826" i="1"/>
  <c r="Y826" i="1" s="1"/>
  <c r="Q826" i="1"/>
  <c r="H826" i="1"/>
  <c r="S826" i="1" s="1"/>
  <c r="T826" i="1" s="1"/>
  <c r="H825" i="1"/>
  <c r="W825" i="1"/>
  <c r="V825" i="1"/>
  <c r="U825" i="1"/>
  <c r="Y825" i="1" s="1"/>
  <c r="Q825" i="1"/>
  <c r="W859" i="1"/>
  <c r="V859" i="1"/>
  <c r="U859" i="1"/>
  <c r="Y859" i="1" s="1"/>
  <c r="Q859" i="1"/>
  <c r="H859" i="1"/>
  <c r="S859" i="1" s="1"/>
  <c r="T859" i="1" s="1"/>
  <c r="W858" i="1"/>
  <c r="V858" i="1"/>
  <c r="U858" i="1"/>
  <c r="X858" i="1" s="1"/>
  <c r="Q858" i="1"/>
  <c r="H858" i="1"/>
  <c r="S858" i="1" s="1"/>
  <c r="T858" i="1" s="1"/>
  <c r="W857" i="1"/>
  <c r="V857" i="1"/>
  <c r="U857" i="1"/>
  <c r="Y857" i="1" s="1"/>
  <c r="Q857" i="1"/>
  <c r="H857" i="1"/>
  <c r="S857" i="1" s="1"/>
  <c r="T857" i="1" s="1"/>
  <c r="W856" i="1"/>
  <c r="V856" i="1"/>
  <c r="U856" i="1"/>
  <c r="Y856" i="1" s="1"/>
  <c r="Q856" i="1"/>
  <c r="H856" i="1"/>
  <c r="W855" i="1"/>
  <c r="V855" i="1"/>
  <c r="U855" i="1"/>
  <c r="Y855" i="1" s="1"/>
  <c r="Q855" i="1"/>
  <c r="H855" i="1"/>
  <c r="W854" i="1"/>
  <c r="V854" i="1"/>
  <c r="U854" i="1"/>
  <c r="Y854" i="1" s="1"/>
  <c r="Q854" i="1"/>
  <c r="H854" i="1"/>
  <c r="S854" i="1" s="1"/>
  <c r="T854" i="1" s="1"/>
  <c r="W853" i="1"/>
  <c r="V853" i="1"/>
  <c r="U853" i="1"/>
  <c r="X853" i="1" s="1"/>
  <c r="Q853" i="1"/>
  <c r="H853" i="1"/>
  <c r="R853" i="1" s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W841" i="1"/>
  <c r="V841" i="1"/>
  <c r="U841" i="1"/>
  <c r="Y841" i="1" s="1"/>
  <c r="Q841" i="1"/>
  <c r="H841" i="1"/>
  <c r="S841" i="1" s="1"/>
  <c r="T841" i="1" s="1"/>
  <c r="W840" i="1"/>
  <c r="V840" i="1"/>
  <c r="U840" i="1"/>
  <c r="Y840" i="1" s="1"/>
  <c r="Q840" i="1"/>
  <c r="H840" i="1"/>
  <c r="S840" i="1" s="1"/>
  <c r="T840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R871" i="1" l="1"/>
  <c r="S871" i="1"/>
  <c r="T871" i="1" s="1"/>
  <c r="X871" i="1"/>
  <c r="Z871" i="1" s="1"/>
  <c r="R870" i="1"/>
  <c r="S870" i="1"/>
  <c r="T870" i="1" s="1"/>
  <c r="X870" i="1"/>
  <c r="Z870" i="1" s="1"/>
  <c r="R869" i="1"/>
  <c r="R868" i="1"/>
  <c r="S869" i="1"/>
  <c r="T869" i="1" s="1"/>
  <c r="X869" i="1"/>
  <c r="Z869" i="1" s="1"/>
  <c r="X868" i="1"/>
  <c r="Z868" i="1" s="1"/>
  <c r="R867" i="1"/>
  <c r="S867" i="1"/>
  <c r="T867" i="1" s="1"/>
  <c r="X867" i="1"/>
  <c r="Z867" i="1" s="1"/>
  <c r="S862" i="1"/>
  <c r="T862" i="1" s="1"/>
  <c r="S865" i="1"/>
  <c r="T865" i="1" s="1"/>
  <c r="Z865" i="1"/>
  <c r="R864" i="1"/>
  <c r="R863" i="1"/>
  <c r="X864" i="1"/>
  <c r="Z864" i="1" s="1"/>
  <c r="Y865" i="1"/>
  <c r="X863" i="1"/>
  <c r="Z863" i="1" s="1"/>
  <c r="X862" i="1"/>
  <c r="Z862" i="1" s="1"/>
  <c r="R866" i="1"/>
  <c r="X866" i="1"/>
  <c r="Z866" i="1" s="1"/>
  <c r="R861" i="1"/>
  <c r="S861" i="1"/>
  <c r="T861" i="1" s="1"/>
  <c r="X861" i="1"/>
  <c r="Z861" i="1" s="1"/>
  <c r="R860" i="1"/>
  <c r="S860" i="1"/>
  <c r="T860" i="1" s="1"/>
  <c r="X860" i="1"/>
  <c r="Z860" i="1" s="1"/>
  <c r="R826" i="1"/>
  <c r="X826" i="1"/>
  <c r="Z826" i="1" s="1"/>
  <c r="R825" i="1"/>
  <c r="S825" i="1"/>
  <c r="T825" i="1" s="1"/>
  <c r="X825" i="1"/>
  <c r="Z825" i="1" s="1"/>
  <c r="Z858" i="1"/>
  <c r="R859" i="1"/>
  <c r="Y858" i="1"/>
  <c r="R858" i="1"/>
  <c r="X859" i="1"/>
  <c r="Z859" i="1" s="1"/>
  <c r="R857" i="1"/>
  <c r="X857" i="1"/>
  <c r="Z857" i="1" s="1"/>
  <c r="S853" i="1"/>
  <c r="T853" i="1" s="1"/>
  <c r="R856" i="1"/>
  <c r="S856" i="1"/>
  <c r="T856" i="1" s="1"/>
  <c r="X856" i="1"/>
  <c r="Z856" i="1" s="1"/>
  <c r="Y853" i="1"/>
  <c r="Z853" i="1"/>
  <c r="R855" i="1"/>
  <c r="R854" i="1"/>
  <c r="S855" i="1"/>
  <c r="T855" i="1" s="1"/>
  <c r="X855" i="1"/>
  <c r="Z855" i="1" s="1"/>
  <c r="X854" i="1"/>
  <c r="Z854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R840" i="1"/>
  <c r="R841" i="1"/>
  <c r="X841" i="1"/>
  <c r="Z841" i="1" s="1"/>
  <c r="X840" i="1"/>
  <c r="Z840" i="1" s="1"/>
  <c r="W839" i="1" l="1"/>
  <c r="V839" i="1"/>
  <c r="U839" i="1"/>
  <c r="Y839" i="1" s="1"/>
  <c r="Q839" i="1"/>
  <c r="H839" i="1"/>
  <c r="W838" i="1"/>
  <c r="V838" i="1"/>
  <c r="U838" i="1"/>
  <c r="Y838" i="1" s="1"/>
  <c r="Q838" i="1"/>
  <c r="H838" i="1"/>
  <c r="W837" i="1"/>
  <c r="V837" i="1"/>
  <c r="U837" i="1"/>
  <c r="Y837" i="1" s="1"/>
  <c r="Q837" i="1"/>
  <c r="H837" i="1"/>
  <c r="S837" i="1" s="1"/>
  <c r="T837" i="1" s="1"/>
  <c r="W836" i="1"/>
  <c r="V836" i="1"/>
  <c r="U836" i="1"/>
  <c r="Y836" i="1" s="1"/>
  <c r="Q836" i="1"/>
  <c r="H836" i="1"/>
  <c r="R836" i="1" s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X831" i="1" s="1"/>
  <c r="Q831" i="1"/>
  <c r="H831" i="1"/>
  <c r="R831" i="1" s="1"/>
  <c r="H830" i="1"/>
  <c r="W830" i="1"/>
  <c r="V830" i="1"/>
  <c r="U830" i="1"/>
  <c r="X830" i="1" s="1"/>
  <c r="Q830" i="1"/>
  <c r="W829" i="1"/>
  <c r="V829" i="1"/>
  <c r="U829" i="1"/>
  <c r="Y829" i="1" s="1"/>
  <c r="Q829" i="1"/>
  <c r="H829" i="1"/>
  <c r="W828" i="1"/>
  <c r="V828" i="1"/>
  <c r="U828" i="1"/>
  <c r="Y828" i="1" s="1"/>
  <c r="Q828" i="1"/>
  <c r="H828" i="1"/>
  <c r="W827" i="1"/>
  <c r="V827" i="1"/>
  <c r="U827" i="1"/>
  <c r="Y827" i="1" s="1"/>
  <c r="Q827" i="1"/>
  <c r="H827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9" i="1" l="1"/>
  <c r="S839" i="1"/>
  <c r="T839" i="1" s="1"/>
  <c r="X839" i="1"/>
  <c r="Z839" i="1" s="1"/>
  <c r="R838" i="1"/>
  <c r="S838" i="1"/>
  <c r="T838" i="1" s="1"/>
  <c r="X838" i="1"/>
  <c r="Z838" i="1" s="1"/>
  <c r="R837" i="1"/>
  <c r="X837" i="1"/>
  <c r="Z837" i="1" s="1"/>
  <c r="S836" i="1"/>
  <c r="T836" i="1" s="1"/>
  <c r="R835" i="1"/>
  <c r="X836" i="1"/>
  <c r="Z836" i="1" s="1"/>
  <c r="X835" i="1"/>
  <c r="Z835" i="1" s="1"/>
  <c r="S831" i="1"/>
  <c r="T831" i="1" s="1"/>
  <c r="Z831" i="1"/>
  <c r="R834" i="1"/>
  <c r="S834" i="1"/>
  <c r="T834" i="1" s="1"/>
  <c r="X834" i="1"/>
  <c r="Z834" i="1" s="1"/>
  <c r="Z830" i="1"/>
  <c r="X833" i="1"/>
  <c r="Z833" i="1" s="1"/>
  <c r="R833" i="1"/>
  <c r="R832" i="1"/>
  <c r="S832" i="1"/>
  <c r="T832" i="1" s="1"/>
  <c r="X832" i="1"/>
  <c r="Z832" i="1" s="1"/>
  <c r="Y831" i="1"/>
  <c r="R830" i="1"/>
  <c r="S830" i="1"/>
  <c r="T830" i="1" s="1"/>
  <c r="Y830" i="1"/>
  <c r="R829" i="1"/>
  <c r="S829" i="1"/>
  <c r="T829" i="1" s="1"/>
  <c r="X829" i="1"/>
  <c r="Z829" i="1" s="1"/>
  <c r="R828" i="1"/>
  <c r="S828" i="1"/>
  <c r="T828" i="1" s="1"/>
  <c r="X828" i="1"/>
  <c r="Z828" i="1" s="1"/>
  <c r="R827" i="1"/>
  <c r="S827" i="1"/>
  <c r="T827" i="1" s="1"/>
  <c r="X827" i="1"/>
  <c r="Z827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443" i="1" l="1"/>
  <c r="T443" i="1" s="1"/>
  <c r="AV443" i="1"/>
  <c r="AS443" i="1" s="1"/>
  <c r="AU443" i="1"/>
  <c r="AT443" i="1" s="1"/>
  <c r="R447" i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H131" i="1"/>
  <c r="S131" i="1" s="1"/>
  <c r="AK131" i="1"/>
  <c r="AO131" i="1"/>
  <c r="W131" i="1" s="1"/>
  <c r="AP131" i="1"/>
  <c r="AQ131" i="1"/>
  <c r="AR131" i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R128" i="1"/>
  <c r="Z128" i="1"/>
  <c r="AI128" i="1" s="1"/>
  <c r="T128" i="1"/>
  <c r="T129" i="1"/>
  <c r="R129" i="1"/>
  <c r="Z129" i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R97" i="1"/>
  <c r="AQ97" i="1"/>
  <c r="AP97" i="1"/>
  <c r="AO97" i="1"/>
  <c r="W97" i="1" s="1"/>
  <c r="AK97" i="1"/>
  <c r="H97" i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R91" i="1"/>
  <c r="AQ91" i="1"/>
  <c r="AP91" i="1"/>
  <c r="AO91" i="1"/>
  <c r="W91" i="1" s="1"/>
  <c r="AK91" i="1"/>
  <c r="H91" i="1"/>
  <c r="AU90" i="1"/>
  <c r="AR90" i="1"/>
  <c r="AQ90" i="1"/>
  <c r="AP90" i="1"/>
  <c r="AO90" i="1"/>
  <c r="W90" i="1" s="1"/>
  <c r="AK90" i="1"/>
  <c r="H90" i="1"/>
  <c r="S90" i="1" s="1"/>
  <c r="AU89" i="1"/>
  <c r="AR89" i="1"/>
  <c r="AQ89" i="1"/>
  <c r="AP89" i="1"/>
  <c r="AO89" i="1"/>
  <c r="W89" i="1" s="1"/>
  <c r="AK89" i="1"/>
  <c r="H89" i="1"/>
  <c r="S89" i="1" s="1"/>
  <c r="AR88" i="1"/>
  <c r="AQ88" i="1"/>
  <c r="AP88" i="1"/>
  <c r="AO88" i="1"/>
  <c r="W88" i="1" s="1"/>
  <c r="AK88" i="1"/>
  <c r="H88" i="1"/>
  <c r="AR87" i="1"/>
  <c r="AQ87" i="1"/>
  <c r="AP87" i="1"/>
  <c r="AO87" i="1"/>
  <c r="W87" i="1" s="1"/>
  <c r="AK87" i="1"/>
  <c r="H87" i="1"/>
  <c r="AU86" i="1"/>
  <c r="AR86" i="1"/>
  <c r="AQ86" i="1"/>
  <c r="AP86" i="1"/>
  <c r="AO86" i="1"/>
  <c r="W86" i="1" s="1"/>
  <c r="AK86" i="1"/>
  <c r="H86" i="1"/>
  <c r="S86" i="1" s="1"/>
  <c r="AR85" i="1"/>
  <c r="AQ85" i="1"/>
  <c r="AP85" i="1"/>
  <c r="AO85" i="1"/>
  <c r="W85" i="1" s="1"/>
  <c r="AK85" i="1"/>
  <c r="H85" i="1"/>
  <c r="AR84" i="1"/>
  <c r="AQ84" i="1"/>
  <c r="AP84" i="1"/>
  <c r="AO84" i="1"/>
  <c r="W84" i="1" s="1"/>
  <c r="AK84" i="1"/>
  <c r="H84" i="1"/>
  <c r="AR83" i="1"/>
  <c r="AQ83" i="1"/>
  <c r="AP83" i="1"/>
  <c r="AO83" i="1"/>
  <c r="W83" i="1" s="1"/>
  <c r="AK83" i="1"/>
  <c r="H83" i="1"/>
  <c r="AR82" i="1"/>
  <c r="AQ82" i="1"/>
  <c r="AP82" i="1"/>
  <c r="AO82" i="1"/>
  <c r="W82" i="1" s="1"/>
  <c r="AK82" i="1"/>
  <c r="H82" i="1"/>
  <c r="AU81" i="1"/>
  <c r="AR81" i="1"/>
  <c r="AQ81" i="1"/>
  <c r="AP81" i="1"/>
  <c r="AO81" i="1"/>
  <c r="W81" i="1" s="1"/>
  <c r="AK81" i="1"/>
  <c r="H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S67" i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U55" i="1"/>
  <c r="AR55" i="1"/>
  <c r="AQ55" i="1"/>
  <c r="AP55" i="1"/>
  <c r="AO55" i="1"/>
  <c r="W55" i="1" s="1"/>
  <c r="AK55" i="1"/>
  <c r="H55" i="1"/>
  <c r="S55" i="1" s="1"/>
  <c r="AU54" i="1"/>
  <c r="AR54" i="1"/>
  <c r="AQ54" i="1"/>
  <c r="AP54" i="1"/>
  <c r="AO54" i="1"/>
  <c r="W54" i="1" s="1"/>
  <c r="AK54" i="1"/>
  <c r="H54" i="1"/>
  <c r="S54" i="1" s="1"/>
  <c r="AR53" i="1"/>
  <c r="AQ53" i="1"/>
  <c r="AP53" i="1"/>
  <c r="AO53" i="1"/>
  <c r="W53" i="1" s="1"/>
  <c r="AK53" i="1"/>
  <c r="H53" i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5" i="1" l="1"/>
  <c r="T35" i="1" s="1"/>
  <c r="AU35" i="1"/>
  <c r="S97" i="1"/>
  <c r="T97" i="1" s="1"/>
  <c r="AU97" i="1"/>
  <c r="AT97" i="1" s="1"/>
  <c r="S91" i="1"/>
  <c r="T91" i="1" s="1"/>
  <c r="AU91" i="1"/>
  <c r="AT91" i="1" s="1"/>
  <c r="S88" i="1"/>
  <c r="T88" i="1" s="1"/>
  <c r="AU88" i="1"/>
  <c r="AT88" i="1" s="1"/>
  <c r="S87" i="1"/>
  <c r="T87" i="1" s="1"/>
  <c r="AU87" i="1"/>
  <c r="AT87" i="1" s="1"/>
  <c r="S85" i="1"/>
  <c r="T85" i="1" s="1"/>
  <c r="AU85" i="1"/>
  <c r="AT85" i="1" s="1"/>
  <c r="S84" i="1"/>
  <c r="T84" i="1" s="1"/>
  <c r="AU84" i="1"/>
  <c r="AT84" i="1" s="1"/>
  <c r="S83" i="1"/>
  <c r="T83" i="1" s="1"/>
  <c r="AU83" i="1"/>
  <c r="AT83" i="1" s="1"/>
  <c r="S82" i="1"/>
  <c r="T82" i="1" s="1"/>
  <c r="AU82" i="1"/>
  <c r="AT82" i="1" s="1"/>
  <c r="S53" i="1"/>
  <c r="T53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V80" i="1"/>
  <c r="AS80" i="1" s="1"/>
  <c r="AT35" i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R90" i="1"/>
  <c r="T90" i="1"/>
  <c r="Z90" i="1"/>
  <c r="AI90" i="1" s="1"/>
  <c r="T89" i="1"/>
  <c r="Z89" i="1"/>
  <c r="AI89" i="1" s="1"/>
  <c r="R89" i="1"/>
  <c r="R88" i="1"/>
  <c r="Z88" i="1"/>
  <c r="AI88" i="1" s="1"/>
  <c r="R87" i="1"/>
  <c r="Z87" i="1"/>
  <c r="AI87" i="1" s="1"/>
  <c r="Z86" i="1"/>
  <c r="AI86" i="1" s="1"/>
  <c r="R86" i="1"/>
  <c r="T86" i="1"/>
  <c r="Z85" i="1"/>
  <c r="AI85" i="1" s="1"/>
  <c r="R85" i="1"/>
  <c r="Z84" i="1"/>
  <c r="AI84" i="1" s="1"/>
  <c r="R84" i="1"/>
  <c r="Z83" i="1"/>
  <c r="AI83" i="1" s="1"/>
  <c r="R83" i="1"/>
  <c r="R82" i="1"/>
  <c r="Z82" i="1"/>
  <c r="AI82" i="1" s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AI67" i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<sst xmlns="http://schemas.openxmlformats.org/spreadsheetml/2006/main" count="30033" uniqueCount="5051">
  <si>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</si>
  <si>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</si>
  <si>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</si>
  <si>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</si>
  <si>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</si>
  <si>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</si>
  <si>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</si>
  <si>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</si>
  <si>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</si>
  <si>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</si>
  <si>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</si>
  <si>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</si>
  <si>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</si>
  <si>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</si>
  <si>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</si>
  <si>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</si>
  <si>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</si>
  <si>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</si>
  <si>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</si>
  <si>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</si>
  <si>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</si>
  <si>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</si>
  <si>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</si>
  <si>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</si>
  <si>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</si>
  <si>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</si>
  <si>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</si>
  <si>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</si>
  <si>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</si>
  <si>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</si>
  <si>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</si>
  <si>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</si>
  <si>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</si>
  <si>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</si>
  <si>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</si>
  <si>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</si>
  <si>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</si>
  <si>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</si>
  <si>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</si>
  <si>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</si>
  <si>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</si>
  <si>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</si>
  <si>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</si>
  <si>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</si>
  <si>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</si>
  <si>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</si>
  <si>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</si>
  <si>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</si>
  <si>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</si>
  <si>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</si>
  <si>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</si>
  <si>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</si>
  <si>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</si>
  <si>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</si>
  <si>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</si>
  <si>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</si>
  <si>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</si>
  <si>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</si>
  <si>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</si>
  <si>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</si>
  <si>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</si>
  <si>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</si>
  <si>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</si>
  <si>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</si>
  <si>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</si>
  <si>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</si>
  <si>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</si>
  <si>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</si>
  <si>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</si>
  <si>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</si>
  <si>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</si>
  <si>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</si>
  <si>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</si>
  <si>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</si>
  <si>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</si>
  <si>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</si>
  <si>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</si>
  <si>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</si>
  <si>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</si>
  <si>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</si>
  <si>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</si>
  <si>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</si>
  <si>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</si>
  <si>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</si>
  <si>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</si>
  <si>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</si>
  <si>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</si>
  <si>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</si>
  <si>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</si>
  <si>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</si>
  <si>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</si>
  <si>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</si>
  <si>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</si>
  <si>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</si>
  <si>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</si>
  <si>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</si>
  <si>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</si>
  <si>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</si>
  <si>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</si>
  <si>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</si>
  <si>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</si>
  <si>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</si>
  <si>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</si>
  <si>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</si>
  <si>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</si>
  <si>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</si>
  <si>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</si>
  <si>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</si>
  <si>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</si>
  <si>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</si>
  <si>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</si>
  <si>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</si>
  <si>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</si>
  <si>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</si>
  <si>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</si>
  <si>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</si>
  <si>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</si>
  <si>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</si>
  <si>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</si>
  <si>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</si>
  <si>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</si>
  <si>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</si>
  <si>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</si>
  <si>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</si>
  <si>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</si>
  <si>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</si>
  <si>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</si>
  <si>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</si>
  <si>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</si>
  <si>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</si>
  <si>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</si>
  <si>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</si>
  <si>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</si>
  <si>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</si>
  <si>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</si>
  <si>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</si>
  <si>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</si>
  <si>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</si>
  <si>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</si>
  <si>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</si>
  <si>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</si>
  <si>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</si>
  <si>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</si>
  <si>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</si>
  <si>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</si>
  <si>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</si>
  <si>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</si>
  <si>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</si>
  <si>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</si>
  <si>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</si>
  <si>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</si>
  <si>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</si>
  <si>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</si>
  <si>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</si>
  <si>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</si>
  <si>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</si>
  <si>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</si>
  <si>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</si>
  <si>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</si>
  <si>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</si>
  <si>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</si>
  <si>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</si>
  <si>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</si>
  <si>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</si>
  <si>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</si>
  <si>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</si>
  <si>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</si>
  <si>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</si>
  <si>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</si>
  <si>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</si>
  <si>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</si>
  <si>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</si>
  <si>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</si>
  <si>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</si>
  <si>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</si>
  <si>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</si>
  <si>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</si>
  <si>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</si>
  <si>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</si>
  <si>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</si>
  <si>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</si>
  <si>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</si>
  <si>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</si>
  <si>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</si>
  <si>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</si>
  <si>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</si>
  <si>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</si>
  <si>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</si>
  <si>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</si>
  <si>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</si>
  <si>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</si>
  <si>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</si>
  <si>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</si>
  <si>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</si>
  <si>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</si>
  <si>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</si>
  <si>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</si>
  <si>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</si>
  <si>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</si>
  <si>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</si>
  <si>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</si>
  <si>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</si>
  <si>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</si>
  <si>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</si>
  <si>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</si>
  <si>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</si>
  <si>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</si>
  <si>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</si>
  <si>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</si>
  <si>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</si>
  <si>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</si>
  <si>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</si>
  <si>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</si>
  <si>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</si>
  <si>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</si>
  <si>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</si>
  <si>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</si>
  <si>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</si>
  <si>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</si>
  <si>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</si>
  <si>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</si>
  <si>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</si>
  <si>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</si>
  <si>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</si>
  <si>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</si>
  <si>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</si>
  <si>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</si>
  <si>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</si>
  <si>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</si>
  <si>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</si>
  <si>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</si>
  <si>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</si>
  <si>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</si>
  <si>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</si>
  <si>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</si>
  <si>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</si>
  <si>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</si>
  <si>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</si>
  <si>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</si>
  <si>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</si>
  <si>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</si>
  <si>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</si>
  <si>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</si>
  <si>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</si>
  <si>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</si>
  <si>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</si>
  <si>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</si>
  <si>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</si>
  <si>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</si>
  <si>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</si>
  <si>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</si>
  <si>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</si>
  <si>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</si>
  <si>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</si>
  <si>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</si>
  <si>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</si>
  <si>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</si>
  <si>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</si>
  <si>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</si>
  <si>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</si>
  <si>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</si>
  <si>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</si>
  <si>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</si>
  <si>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</si>
  <si>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</si>
  <si>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</si>
  <si>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</si>
  <si>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</si>
  <si>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</si>
  <si>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</si>
  <si>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</si>
  <si>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</si>
  <si>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</si>
  <si>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</si>
  <si>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</si>
  <si>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</si>
  <si>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</si>
  <si>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</si>
  <si>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</si>
  <si>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</si>
  <si>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</si>
  <si>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</si>
  <si>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</si>
  <si>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</si>
  <si>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</si>
  <si>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</si>
  <si>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</si>
  <si>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</si>
  <si>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</si>
  <si>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</si>
  <si>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</si>
  <si>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</si>
  <si>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</si>
  <si>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</si>
  <si>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</si>
  <si>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</si>
  <si>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</si>
  <si>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</si>
  <si>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</si>
  <si>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</si>
  <si>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</si>
  <si>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</si>
  <si>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</si>
  <si>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</si>
  <si>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</si>
  <si>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</si>
  <si>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</si>
  <si>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</si>
  <si>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</si>
  <si>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</si>
  <si>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</si>
  <si>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</si>
  <si>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</si>
  <si>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</si>
  <si>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</si>
  <si>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</si>
  <si>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</si>
  <si>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</si>
  <si>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</si>
  <si>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</si>
  <si>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</si>
  <si>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</si>
  <si>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</si>
  <si>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</si>
  <si>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</si>
  <si>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</si>
  <si>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</si>
  <si>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</si>
  <si>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</si>
  <si>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</si>
  <si>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</si>
  <si>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</si>
  <si>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</si>
  <si>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</si>
  <si>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</si>
  <si>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</si>
  <si>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</si>
  <si>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</si>
  <si>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</si>
  <si>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</si>
  <si>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</si>
  <si>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</si>
  <si>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</si>
  <si>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</si>
  <si>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</si>
  <si>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</si>
  <si>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</si>
  <si>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</si>
  <si>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</si>
  <si>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</si>
  <si>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</si>
  <si>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</si>
  <si>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</si>
  <si>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</si>
  <si>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</si>
  <si>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</si>
  <si>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</si>
  <si>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</si>
  <si>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</si>
  <si>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</si>
  <si>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</si>
  <si>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</si>
  <si>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</si>
  <si>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</si>
  <si>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</si>
  <si>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</si>
  <si>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</si>
  <si>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</si>
  <si>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</si>
  <si>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</si>
  <si>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</si>
  <si>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</si>
  <si>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</si>
  <si>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</si>
  <si>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</si>
  <si>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</si>
  <si>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</si>
  <si>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</si>
  <si>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</si>
  <si>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</si>
  <si>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</si>
  <si>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</si>
  <si>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</si>
  <si>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</si>
  <si>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</si>
  <si>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</si>
  <si>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</si>
  <si>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</si>
  <si>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</si>
  <si>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</si>
  <si>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</si>
  <si>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</si>
  <si>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</si>
  <si>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</si>
  <si>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</si>
  <si>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</si>
  <si>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</si>
  <si>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</si>
  <si>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</si>
  <si>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</si>
  <si>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</si>
  <si>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</si>
  <si>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</si>
  <si>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</si>
  <si>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</si>
  <si>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</si>
  <si>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</si>
  <si>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</si>
  <si>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</si>
  <si>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</si>
  <si>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</si>
  <si>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</si>
  <si>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</si>
  <si>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</si>
  <si>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</si>
  <si>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</si>
  <si>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</si>
  <si>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</si>
  <si>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</si>
  <si>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</si>
  <si>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</si>
  <si>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</si>
  <si>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</si>
  <si>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</si>
  <si>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</si>
  <si>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</si>
  <si>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</si>
  <si>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</si>
  <si>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</si>
  <si>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</si>
  <si>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</si>
  <si>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</si>
  <si>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</si>
  <si>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</si>
  <si>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</si>
  <si>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</si>
  <si>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</si>
  <si>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</si>
  <si>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</si>
  <si>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</si>
  <si>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</si>
  <si>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</si>
  <si>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</si>
  <si>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</si>
  <si>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</si>
  <si>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</si>
  <si>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</si>
  <si>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</si>
  <si>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</si>
  <si>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</si>
  <si>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</si>
  <si>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</si>
  <si>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</si>
  <si>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</si>
  <si>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</si>
  <si>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</si>
  <si>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</si>
  <si>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</si>
  <si>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</si>
  <si>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</si>
  <si>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</si>
  <si>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</si>
  <si>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</si>
  <si>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</si>
  <si>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</si>
  <si>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</si>
  <si>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</si>
  <si>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</si>
  <si>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</si>
  <si>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</si>
  <si>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</si>
  <si>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</si>
  <si>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</si>
  <si>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</si>
  <si>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</si>
  <si>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</si>
  <si>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</si>
  <si>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</si>
  <si>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</si>
  <si>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</si>
  <si>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</si>
  <si>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</si>
  <si>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</si>
  <si>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</si>
  <si>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</si>
  <si>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</si>
  <si>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</si>
  <si>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</si>
  <si>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</si>
  <si>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</si>
  <si>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</si>
  <si>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</si>
  <si>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</si>
  <si>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</si>
  <si>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</si>
  <si>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</si>
  <si>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</si>
  <si>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</si>
  <si>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</si>
  <si>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</si>
  <si>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</si>
  <si>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</si>
  <si>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</si>
  <si>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</si>
  <si>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</si>
  <si>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</si>
  <si>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</si>
  <si>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</si>
  <si>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</si>
  <si>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</si>
  <si>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</si>
  <si>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</si>
  <si>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</si>
  <si>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</si>
  <si>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</si>
  <si>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</si>
  <si>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</si>
  <si>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</si>
  <si>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</si>
  <si>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</si>
  <si>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</si>
  <si>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</si>
  <si>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</si>
  <si>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</si>
  <si>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</si>
  <si>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</si>
  <si>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</si>
  <si>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</si>
  <si>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</si>
  <si>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</si>
  <si>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</si>
  <si>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</si>
  <si>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</si>
  <si>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</si>
  <si>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</si>
  <si>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</si>
  <si>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</si>
  <si>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</si>
  <si>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</si>
  <si>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</si>
  <si>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</si>
  <si>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</si>
  <si>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</si>
  <si>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</si>
  <si>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</si>
  <si>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</si>
  <si>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</si>
  <si>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</si>
  <si>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</si>
  <si>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</si>
  <si>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</si>
  <si>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</si>
  <si>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</si>
  <si>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</si>
  <si>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</si>
  <si>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</si>
  <si>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</si>
  <si>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</si>
  <si>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</si>
  <si>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</si>
  <si>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</si>
  <si>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</si>
  <si>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</si>
  <si>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</si>
  <si>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</si>
  <si>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</si>
  <si>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</si>
  <si>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</si>
  <si>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</si>
  <si>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</si>
  <si>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</si>
  <si>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</si>
  <si>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</si>
  <si>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</si>
  <si>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</si>
  <si>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</si>
  <si>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</si>
  <si>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</si>
  <si>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</si>
  <si>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</si>
  <si>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</si>
  <si>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</si>
  <si>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</si>
  <si>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</si>
  <si>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</si>
  <si>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</si>
  <si>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</si>
  <si>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</si>
  <si>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</si>
  <si>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</si>
  <si>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</si>
  <si>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</si>
  <si>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</si>
  <si>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</si>
  <si>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</si>
  <si>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</si>
  <si>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</si>
  <si>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</si>
  <si>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</si>
  <si>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</si>
  <si>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</si>
  <si>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</si>
  <si>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</si>
  <si>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</si>
  <si>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</si>
  <si>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</si>
  <si>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</si>
  <si>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</si>
  <si>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</si>
  <si>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</si>
  <si>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</si>
  <si>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</si>
  <si>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</si>
  <si>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</si>
  <si>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</si>
  <si>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</si>
  <si>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</si>
  <si>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</si>
  <si>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</si>
  <si>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</si>
  <si>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</si>
  <si>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</si>
  <si>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</si>
  <si>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</si>
  <si>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</si>
  <si>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</si>
  <si>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</si>
  <si>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</si>
  <si>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</si>
  <si>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</si>
  <si>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</si>
  <si>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</si>
  <si>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</si>
  <si>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</si>
  <si>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</si>
  <si>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</si>
  <si>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</si>
  <si>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</si>
  <si>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</si>
  <si>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</si>
  <si>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</si>
  <si>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</si>
  <si>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</si>
  <si>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</si>
  <si>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</si>
  <si>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</si>
  <si>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</si>
  <si>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</si>
  <si>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</si>
  <si>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</si>
  <si>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</si>
  <si>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</si>
  <si>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</si>
  <si>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</si>
  <si>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</si>
  <si>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</si>
  <si>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</si>
  <si>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</si>
  <si>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</si>
  <si>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</si>
  <si>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</si>
  <si>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</si>
  <si>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</si>
  <si>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</si>
  <si>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</si>
  <si>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</si>
  <si>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</si>
  <si>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</si>
  <si>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</si>
  <si>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</si>
  <si>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</si>
  <si>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</si>
  <si>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</si>
  <si>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</si>
  <si>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</si>
  <si>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</si>
  <si>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</si>
  <si>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</si>
  <si>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</si>
  <si>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</si>
  <si>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</si>
  <si>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</si>
  <si>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</si>
  <si>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</si>
  <si>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</si>
  <si>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</si>
  <si>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</si>
  <si>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</si>
  <si>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</si>
  <si>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</si>
  <si>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</si>
  <si>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</si>
  <si>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</si>
  <si>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</si>
  <si>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</si>
  <si>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</si>
  <si>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</si>
  <si>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</si>
  <si>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</si>
  <si>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</si>
  <si>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</si>
  <si>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</si>
  <si>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</si>
  <si>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</si>
  <si>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</si>
  <si>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</si>
  <si>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</si>
  <si>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</si>
  <si>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</si>
  <si>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</si>
  <si>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</si>
  <si>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</si>
  <si>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</si>
  <si>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</si>
  <si>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</si>
  <si>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</si>
  <si>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</si>
  <si>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</si>
  <si>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</si>
  <si>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</si>
  <si>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</si>
  <si>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</si>
  <si>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</si>
  <si>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</si>
  <si>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</si>
  <si>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</si>
  <si>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</si>
  <si>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</si>
  <si>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</si>
  <si>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</si>
  <si>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</si>
  <si>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</si>
  <si>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</si>
  <si>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</si>
  <si>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</si>
  <si>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</si>
  <si>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</si>
  <si>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</si>
  <si>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</si>
  <si>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</si>
  <si>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</si>
  <si>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</si>
  <si>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</si>
  <si>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</si>
  <si>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</si>
  <si>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</si>
  <si>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</si>
  <si>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</si>
  <si>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</si>
  <si>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</si>
  <si>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</si>
  <si>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</si>
  <si>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</si>
  <si>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</si>
  <si>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</si>
  <si>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</si>
  <si>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</si>
  <si>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</si>
  <si>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</si>
  <si>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</si>
  <si>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</si>
  <si>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</si>
  <si>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</si>
  <si>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</si>
  <si>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</si>
  <si>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</si>
  <si>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</si>
  <si>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</si>
  <si>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</si>
  <si>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</si>
  <si>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</si>
  <si>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</si>
  <si>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</si>
  <si>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</si>
  <si>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</si>
  <si>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</si>
  <si>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</si>
  <si>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</si>
  <si>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</si>
  <si>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</si>
  <si>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</si>
  <si>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</si>
  <si>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</si>
  <si>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</si>
  <si>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</si>
  <si>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</si>
  <si>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</si>
  <si>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</si>
  <si>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</si>
  <si>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</si>
  <si>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</si>
  <si>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</si>
  <si>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</si>
  <si>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</si>
  <si>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</si>
  <si>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</si>
  <si>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</si>
  <si>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</si>
  <si>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</si>
  <si>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</si>
  <si>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</si>
  <si>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</si>
  <si>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</si>
  <si>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</si>
  <si>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</si>
  <si>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</si>
  <si>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</si>
  <si>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</si>
  <si>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</si>
  <si>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</si>
  <si>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</si>
  <si>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</si>
  <si>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</si>
  <si>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</si>
  <si>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</si>
  <si>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</si>
  <si>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</si>
  <si>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</si>
  <si>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</si>
  <si>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</si>
  <si>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</si>
  <si>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</si>
  <si>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</si>
  <si>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</si>
  <si>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</si>
  <si>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</si>
  <si>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</si>
  <si>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</si>
  <si>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</si>
  <si>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</si>
  <si>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</si>
  <si>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</si>
  <si>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</si>
  <si>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</si>
  <si>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</si>
  <si>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</si>
  <si>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</si>
  <si>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</si>
  <si>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</si>
  <si>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</si>
  <si>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</si>
  <si>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</si>
  <si>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</si>
  <si>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</si>
  <si>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</si>
  <si>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</si>
  <si>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</si>
  <si>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</si>
  <si>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</si>
  <si>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</si>
  <si>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</si>
  <si>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</si>
  <si>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</si>
  <si>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</si>
  <si>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</si>
  <si>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</si>
  <si>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</si>
  <si>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</si>
  <si>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</si>
  <si>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</si>
  <si>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</si>
  <si>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</si>
  <si>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</si>
  <si>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</si>
  <si>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</si>
  <si>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</si>
  <si>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</si>
  <si>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</si>
  <si>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</si>
  <si>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</si>
  <si>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</si>
  <si>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</si>
  <si>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</si>
  <si>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</si>
  <si>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</si>
  <si>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</si>
  <si>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</si>
  <si>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</si>
  <si>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</si>
  <si>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</si>
  <si>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</si>
  <si>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</si>
  <si>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</si>
  <si>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</si>
  <si>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</si>
  <si>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</si>
  <si>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</si>
  <si>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</si>
  <si>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</si>
  <si>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</si>
  <si>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</si>
  <si>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</si>
  <si>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</si>
  <si>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</si>
  <si>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</si>
  <si>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</si>
  <si>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</si>
  <si>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</si>
  <si>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</si>
  <si>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</si>
  <si>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</si>
  <si>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</si>
  <si>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</si>
  <si>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</si>
  <si>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</si>
  <si>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</si>
  <si>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</si>
  <si>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</si>
  <si>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</si>
  <si>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</si>
  <si>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</si>
  <si>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</si>
  <si>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</si>
  <si>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</si>
  <si>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</si>
  <si>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</si>
  <si>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</si>
  <si>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</si>
  <si>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</si>
  <si>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</si>
  <si>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</si>
  <si>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</si>
  <si>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</si>
  <si>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</si>
  <si>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</si>
  <si>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</si>
  <si>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</si>
  <si>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</si>
  <si>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</si>
  <si>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</si>
  <si>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</si>
  <si>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</si>
  <si>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</si>
  <si>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</si>
  <si>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</si>
  <si>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</si>
  <si>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</si>
  <si>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</si>
  <si>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</si>
  <si>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</si>
  <si>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</si>
  <si>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</si>
  <si>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</si>
  <si>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</si>
  <si>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</si>
  <si>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</si>
  <si>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</si>
  <si>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</si>
  <si>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</si>
  <si>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</si>
  <si>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</si>
  <si>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</si>
  <si>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</si>
  <si>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</si>
  <si>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</si>
  <si>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</si>
  <si>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</si>
  <si>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</si>
  <si>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</si>
  <si>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</si>
  <si>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</si>
  <si>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</si>
  <si>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</si>
  <si>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</si>
  <si>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</si>
  <si>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</si>
  <si>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</si>
  <si>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</si>
  <si>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</si>
  <si>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</si>
  <si>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</si>
  <si>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</si>
  <si>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</si>
  <si>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</si>
  <si>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</si>
  <si>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</si>
  <si>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</si>
  <si>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</si>
  <si>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</si>
  <si>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</si>
  <si>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</si>
  <si>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</si>
  <si>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</si>
  <si>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</si>
  <si>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</si>
  <si>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</si>
  <si>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</si>
  <si>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</si>
  <si>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</si>
  <si>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</si>
  <si>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</si>
  <si>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</si>
  <si>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</si>
  <si>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</si>
  <si>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</si>
  <si>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</si>
  <si>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</si>
  <si>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</si>
  <si>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</si>
  <si>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</si>
  <si>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</si>
  <si>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</si>
  <si>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</si>
  <si>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</si>
  <si>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</si>
  <si>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</si>
  <si>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</si>
  <si>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</si>
  <si>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</si>
  <si>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</si>
  <si>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</si>
  <si>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</si>
  <si>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</si>
  <si>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</si>
  <si>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</si>
  <si>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</si>
  <si>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</si>
  <si>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</si>
  <si>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</si>
  <si>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</si>
  <si>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</si>
  <si>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</si>
  <si>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</si>
  <si>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</si>
  <si>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</si>
  <si>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</si>
  <si>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</si>
  <si>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</si>
  <si>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</si>
  <si>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</si>
  <si>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</si>
  <si>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</si>
  <si>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</si>
  <si>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</si>
  <si>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</si>
  <si>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</si>
  <si>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</si>
  <si>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</si>
  <si>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</si>
  <si>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</si>
  <si>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</si>
  <si>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</si>
  <si>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</si>
  <si>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</si>
  <si>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</si>
  <si>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</si>
  <si>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</si>
  <si>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</si>
  <si>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</si>
  <si>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</si>
  <si>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</si>
  <si>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</si>
  <si>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</si>
  <si>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</si>
  <si>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</si>
  <si>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</si>
  <si>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</si>
  <si>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</si>
  <si>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</si>
  <si>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</si>
  <si>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</si>
  <si>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</si>
  <si>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</si>
  <si>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</si>
  <si>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</si>
  <si>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</si>
  <si>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</si>
  <si>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</si>
  <si>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</si>
  <si>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</si>
  <si>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</si>
  <si>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</si>
  <si>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</si>
  <si>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</si>
  <si>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</si>
  <si>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</si>
  <si>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</si>
  <si>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</si>
  <si>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</si>
  <si>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</si>
  <si>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</si>
  <si>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</si>
  <si>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</si>
  <si>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</si>
  <si>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</si>
  <si>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</si>
  <si>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</si>
  <si>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</si>
  <si>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</si>
  <si>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</si>
  <si>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</si>
  <si>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</si>
  <si>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</si>
  <si>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</si>
  <si>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</si>
  <si>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</si>
  <si>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</si>
  <si>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</si>
  <si>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</si>
  <si>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</si>
  <si>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</si>
  <si>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</si>
  <si>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</si>
  <si>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</si>
  <si>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</si>
  <si>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</si>
  <si>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</si>
  <si>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</si>
  <si>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</si>
  <si>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</si>
  <si>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</si>
  <si>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</si>
  <si>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</si>
  <si>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</si>
  <si>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</si>
  <si>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</si>
  <si>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</si>
  <si>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</si>
  <si>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</si>
  <si>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</si>
  <si>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</si>
  <si>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</si>
  <si>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</si>
  <si>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</si>
  <si>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</si>
  <si>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</si>
  <si>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</si>
  <si>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</si>
  <si>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</si>
  <si>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</si>
  <si>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</si>
  <si>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</si>
  <si>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</si>
  <si>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</si>
  <si>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</si>
  <si>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</si>
  <si>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</si>
  <si>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</si>
  <si>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</si>
  <si>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</si>
  <si>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</si>
  <si>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</si>
  <si>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</si>
  <si>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</si>
  <si>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</si>
  <si>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</si>
  <si>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</si>
  <si>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</si>
  <si>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</si>
  <si>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</si>
  <si>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</si>
  <si>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</si>
  <si>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</si>
  <si>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</si>
  <si>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</si>
  <si>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</si>
  <si>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</si>
  <si>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</si>
  <si>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</si>
  <si>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</si>
  <si>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</si>
  <si>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</si>
  <si>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</si>
  <si>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</si>
  <si>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</si>
  <si>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</si>
  <si>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</si>
  <si>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</si>
  <si>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</si>
  <si>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</si>
  <si>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</si>
  <si>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</si>
  <si>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</si>
  <si>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</si>
  <si>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</si>
  <si>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</si>
  <si>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</si>
  <si>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</si>
  <si>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</si>
  <si>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</si>
  <si>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</si>
  <si>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</si>
  <si>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</si>
  <si>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</si>
  <si>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</si>
  <si>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</si>
  <si>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</si>
  <si>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</si>
  <si>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</si>
  <si>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</si>
  <si>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</si>
  <si>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</si>
  <si>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</si>
  <si>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</si>
  <si>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</si>
  <si>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</si>
  <si>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</si>
  <si>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</si>
  <si>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</si>
  <si>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</si>
  <si>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</si>
  <si>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</si>
  <si>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</si>
  <si>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</si>
  <si>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</si>
  <si>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</si>
  <si>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</si>
  <si>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</si>
  <si>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</si>
  <si>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</si>
  <si>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</si>
  <si>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</si>
  <si>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</si>
  <si>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</si>
  <si>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</si>
  <si>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</si>
  <si>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</si>
  <si>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</si>
  <si>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</si>
  <si>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</si>
  <si>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</si>
  <si>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</si>
  <si>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</si>
  <si>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</si>
  <si>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</si>
  <si>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</si>
  <si>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</si>
  <si>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</si>
  <si>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</si>
  <si>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</si>
  <si>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</si>
  <si>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</si>
  <si>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</si>
  <si>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</si>
  <si>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</si>
  <si>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</si>
  <si>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</si>
  <si>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</si>
  <si>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</si>
  <si>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</si>
  <si>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</si>
  <si>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</si>
  <si>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</si>
  <si>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</si>
  <si>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</si>
  <si>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</si>
  <si>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</si>
  <si>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</si>
  <si>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</si>
  <si>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</si>
  <si>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</si>
  <si>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</si>
  <si>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</si>
  <si>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</si>
  <si>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</si>
  <si>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</si>
  <si>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</si>
  <si>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</si>
  <si>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</si>
  <si>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</si>
  <si>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</si>
  <si>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</si>
  <si>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</si>
  <si>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</si>
  <si>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</si>
  <si>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</si>
  <si>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</si>
  <si>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</si>
  <si>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</si>
  <si>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</si>
  <si>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</si>
  <si>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</si>
  <si>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</si>
  <si>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</si>
  <si>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</si>
  <si>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</si>
  <si>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</si>
  <si>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</si>
  <si>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</si>
  <si>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</si>
  <si>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</si>
  <si>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</si>
  <si>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</si>
  <si>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</si>
  <si>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</si>
  <si>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</si>
  <si>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</si>
  <si>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</si>
  <si>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</si>
  <si>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</si>
  <si>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</si>
  <si>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</si>
  <si>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</si>
  <si>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</si>
  <si>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</si>
  <si>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</si>
  <si>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</si>
  <si>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</si>
  <si>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</si>
  <si>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</si>
  <si>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</si>
  <si>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</si>
  <si>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</si>
  <si>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</si>
  <si>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</si>
  <si>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</si>
  <si>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</si>
  <si>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</si>
  <si>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</si>
  <si>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</si>
  <si>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</si>
  <si>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</si>
  <si>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</si>
  <si>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</si>
  <si>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</si>
  <si>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</si>
  <si>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</si>
  <si>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</si>
  <si>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</si>
  <si>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</si>
  <si>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</si>
  <si>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</si>
  <si>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</si>
  <si>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</si>
  <si>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</si>
  <si>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</si>
  <si>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</si>
  <si>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</si>
  <si>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</si>
  <si>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</si>
  <si>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</si>
  <si>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</si>
  <si>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</si>
  <si>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</si>
  <si>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</si>
  <si>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</si>
  <si>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</si>
  <si>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</si>
  <si>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</si>
  <si>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</si>
  <si>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</si>
  <si>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</si>
  <si>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</si>
  <si>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</si>
  <si>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</si>
  <si>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</si>
  <si>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</si>
  <si>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</si>
  <si>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</si>
  <si>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</si>
  <si>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</si>
  <si>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</si>
  <si>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</si>
  <si>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</si>
  <si>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</si>
  <si>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</si>
  <si>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</si>
  <si>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</si>
  <si>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</si>
  <si>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</si>
  <si>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</si>
  <si>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</si>
  <si>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</si>
  <si>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</si>
  <si>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</si>
  <si>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</si>
  <si>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</si>
  <si>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</si>
  <si>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</si>
  <si>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</si>
  <si>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</si>
  <si>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</si>
  <si>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</si>
  <si>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</si>
  <si>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</si>
  <si>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</si>
  <si>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</si>
  <si>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</si>
  <si>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</si>
  <si>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</si>
  <si>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</si>
  <si>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</si>
  <si>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</si>
  <si>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</si>
  <si>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</si>
  <si>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</si>
  <si>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</si>
  <si>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</si>
  <si>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</si>
  <si>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</si>
  <si>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</si>
  <si>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</si>
  <si>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</si>
  <si>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</si>
  <si>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</si>
  <si>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</si>
  <si>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</si>
  <si>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</si>
  <si>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</si>
  <si>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</si>
  <si>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</si>
  <si>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</si>
  <si>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</si>
  <si>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</si>
  <si>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</si>
  <si>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</si>
  <si>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</si>
  <si>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</si>
  <si>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</si>
  <si>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</si>
  <si>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</si>
  <si>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</si>
  <si>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</si>
  <si>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</si>
  <si>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</si>
  <si>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</si>
  <si>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</si>
  <si>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</si>
  <si>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</si>
  <si>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</si>
  <si>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</si>
  <si>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</si>
  <si>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</si>
  <si>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</si>
  <si>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</si>
  <si>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</si>
  <si>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</si>
  <si>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</si>
  <si>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</si>
  <si>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</si>
  <si>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</si>
  <si>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</si>
  <si>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</si>
  <si>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</si>
  <si>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</si>
  <si>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</si>
  <si>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</si>
  <si>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</si>
  <si>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</si>
  <si>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</si>
  <si>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</si>
  <si>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</si>
  <si>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</si>
  <si>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</si>
  <si>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</si>
  <si>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</si>
  <si>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</si>
  <si>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</si>
  <si>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</si>
  <si>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</si>
  <si>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</si>
  <si>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</si>
  <si>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</si>
  <si>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</si>
  <si>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</si>
  <si>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</si>
  <si>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</si>
  <si>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</si>
  <si>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</si>
  <si>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</si>
  <si>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</si>
  <si>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</si>
  <si>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</si>
  <si>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</si>
  <si>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</si>
  <si>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</si>
  <si>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</si>
  <si>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</si>
  <si>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</si>
  <si>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</si>
  <si>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</si>
  <si>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</si>
  <si>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</si>
  <si>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</si>
  <si>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</si>
  <si>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</si>
  <si>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</si>
  <si>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</si>
  <si>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</si>
  <si>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</si>
  <si>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</si>
  <si>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</si>
  <si>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</si>
  <si>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</si>
  <si>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</si>
  <si>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</si>
  <si>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</si>
  <si>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</si>
  <si>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</si>
  <si>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</si>
  <si>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</si>
  <si>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</si>
  <si>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</si>
  <si>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</si>
  <si>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</si>
  <si>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</si>
  <si>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</si>
  <si>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</si>
  <si>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</si>
  <si>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</si>
  <si>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</si>
  <si>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</si>
  <si>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</si>
  <si>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</si>
  <si>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</si>
  <si>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</si>
  <si>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</si>
  <si>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</si>
  <si>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</si>
  <si>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</si>
  <si>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</si>
  <si>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</si>
  <si>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</si>
  <si>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</si>
  <si>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</si>
  <si>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</si>
  <si>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</si>
  <si>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</si>
  <si>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</si>
  <si>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</si>
  <si>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</si>
  <si>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</si>
  <si>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</si>
  <si>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</si>
  <si>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</si>
  <si>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</si>
  <si>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</si>
  <si>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</si>
  <si>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</si>
  <si>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</si>
  <si>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</si>
  <si>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</si>
  <si>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</si>
  <si>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</si>
  <si>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</si>
  <si>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</si>
  <si>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</si>
  <si>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</si>
  <si>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</si>
  <si>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</si>
  <si>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</si>
  <si>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</si>
  <si>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</si>
  <si>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</si>
  <si>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</si>
  <si>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</si>
  <si>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</si>
  <si>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</si>
  <si>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</si>
  <si>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</si>
  <si>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</si>
  <si>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</si>
  <si>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</si>
  <si>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</si>
  <si>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</si>
  <si>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</si>
  <si>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</si>
  <si>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</si>
  <si>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</si>
  <si>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</si>
  <si>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</si>
  <si>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</si>
  <si>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</si>
  <si>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</si>
  <si>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</si>
  <si>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</si>
  <si>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</si>
  <si>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</si>
  <si>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</si>
  <si>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</si>
  <si>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</si>
  <si>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</si>
  <si>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</si>
  <si>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</si>
  <si>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</si>
  <si>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</si>
  <si>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</si>
  <si>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</si>
  <si>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</si>
  <si>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</si>
  <si>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</si>
  <si>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</si>
  <si>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</si>
  <si>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</si>
  <si>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</si>
  <si>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</si>
  <si>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</si>
  <si>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</si>
  <si>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</si>
  <si>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</si>
  <si>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</si>
  <si>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</si>
  <si>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</si>
  <si>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</si>
  <si>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</si>
  <si>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</si>
  <si>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</si>
  <si>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</si>
  <si>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</si>
  <si>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</si>
  <si>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</si>
  <si>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</si>
  <si>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</si>
  <si>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</si>
  <si>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</si>
  <si>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</si>
  <si>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</si>
  <si>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</si>
  <si>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</si>
  <si>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</si>
  <si>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</si>
  <si>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</si>
  <si>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</si>
  <si>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</si>
  <si>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</si>
  <si>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</si>
  <si>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</si>
  <si>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</si>
  <si>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</si>
  <si>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</si>
  <si>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</si>
  <si>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</si>
  <si>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</si>
  <si>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</si>
  <si>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</si>
  <si>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</si>
  <si>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</si>
  <si>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</si>
  <si>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</si>
  <si>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</si>
  <si>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</si>
  <si>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</si>
  <si>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</si>
  <si>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</si>
  <si>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</si>
  <si>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</si>
  <si>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</si>
  <si>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</si>
  <si>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</si>
  <si>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</si>
  <si>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</si>
  <si>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</si>
  <si>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</si>
  <si>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</si>
  <si>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</si>
  <si>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</si>
  <si>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</si>
  <si>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</si>
  <si>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</si>
  <si>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</si>
  <si>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</si>
  <si>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</si>
  <si>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</si>
  <si>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</si>
  <si>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</si>
  <si>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</si>
  <si>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</si>
  <si>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</si>
  <si>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</si>
  <si>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</si>
  <si>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</si>
  <si>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</si>
  <si>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</si>
  <si>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</si>
  <si>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</si>
  <si>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</si>
  <si>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</si>
  <si>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</si>
  <si>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</si>
  <si>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</si>
  <si>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</si>
  <si>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</si>
  <si>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</si>
  <si>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</si>
  <si>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</si>
  <si>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</si>
  <si>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</si>
  <si>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</si>
  <si>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</si>
  <si>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</si>
  <si>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</si>
  <si>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</si>
  <si>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</si>
  <si>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</si>
  <si>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</si>
  <si>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</si>
  <si>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</si>
  <si>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</si>
  <si>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</si>
  <si>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</si>
  <si>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</si>
  <si>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</si>
  <si>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</si>
  <si>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</si>
  <si>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</si>
  <si>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</si>
  <si>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</si>
  <si>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</si>
  <si>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</si>
  <si>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</si>
  <si>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</si>
  <si>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</si>
  <si>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</si>
  <si>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</si>
  <si>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</si>
  <si>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</si>
  <si>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</si>
  <si>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</si>
  <si>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</si>
  <si>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</si>
  <si>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</si>
  <si>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</si>
  <si>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</si>
  <si>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</si>
  <si>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</si>
  <si>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</si>
  <si>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</si>
  <si>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</si>
  <si>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</si>
  <si>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</si>
  <si>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</si>
  <si>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</si>
  <si>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</si>
  <si>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</si>
  <si>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</si>
  <si>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</si>
  <si>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</si>
  <si>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</si>
  <si>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</si>
  <si>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</si>
  <si>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</si>
  <si>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</si>
  <si>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</si>
  <si>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</si>
  <si>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</si>
  <si>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</si>
  <si>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</si>
  <si>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</si>
  <si>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</si>
  <si>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</si>
  <si>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</si>
  <si>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</si>
  <si>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</si>
  <si>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</si>
  <si>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</si>
  <si>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</si>
  <si>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</si>
  <si>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</si>
  <si>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</si>
  <si>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</si>
  <si>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</si>
  <si>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</si>
  <si>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</si>
  <si>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</si>
  <si>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</si>
  <si>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</si>
  <si>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</si>
  <si>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</si>
  <si>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</si>
  <si>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</si>
  <si>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</si>
  <si>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</si>
  <si>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</si>
  <si>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</si>
  <si>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</si>
  <si>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</si>
  <si>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</si>
  <si>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</si>
  <si>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</si>
  <si>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</si>
  <si>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</si>
  <si>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</si>
  <si>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</si>
  <si>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</si>
  <si>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</si>
  <si>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</si>
  <si>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</si>
  <si>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</si>
  <si>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</si>
  <si>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</si>
  <si>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</si>
  <si>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</si>
  <si>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</si>
  <si>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</si>
  <si>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</si>
  <si>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</si>
  <si>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</si>
  <si>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</si>
  <si>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</si>
  <si>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</si>
  <si>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</si>
  <si>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</si>
  <si>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</si>
  <si>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</si>
  <si>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</si>
  <si>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</si>
  <si>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</si>
  <si>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</si>
  <si>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</si>
  <si>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</si>
  <si>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</si>
  <si>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</si>
  <si>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</si>
  <si>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</si>
  <si>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</si>
  <si>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</si>
  <si>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</si>
  <si>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</si>
  <si>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</si>
  <si>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</si>
  <si>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</si>
  <si>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</si>
  <si>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</si>
  <si>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</si>
  <si>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</si>
  <si>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</si>
  <si>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</si>
  <si>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</si>
  <si>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</si>
  <si>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</si>
  <si>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</si>
  <si>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</si>
  <si>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</si>
  <si>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</si>
  <si>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</si>
  <si>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</si>
  <si>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</si>
  <si>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</si>
  <si>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</si>
  <si>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</si>
  <si>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</si>
  <si>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</si>
  <si>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</si>
  <si>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</si>
  <si>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</si>
  <si>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</si>
  <si>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</si>
  <si>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</si>
  <si>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</si>
  <si>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</si>
  <si>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</si>
  <si>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</si>
  <si>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</si>
  <si>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</si>
  <si>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</si>
  <si>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</si>
  <si>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</si>
  <si>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</si>
  <si>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</si>
  <si>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</si>
  <si>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</si>
  <si>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</si>
  <si>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</si>
  <si>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</si>
  <si>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</si>
  <si>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</si>
  <si>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</si>
  <si>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</si>
  <si>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</si>
  <si>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</si>
  <si>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</si>
  <si>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</si>
  <si>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</si>
  <si>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</si>
  <si>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</si>
  <si>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</si>
  <si>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</si>
  <si>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</si>
  <si>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</si>
  <si>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</si>
  <si>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</si>
  <si>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</si>
  <si>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</si>
  <si>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</si>
  <si>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</si>
  <si>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</si>
  <si>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</si>
  <si>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</si>
  <si>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</si>
  <si>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</si>
  <si>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</si>
  <si>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</si>
  <si>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</si>
  <si>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</si>
  <si>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</si>
  <si>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</si>
  <si>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</si>
  <si>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</si>
  <si>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</si>
  <si>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</si>
  <si>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</si>
  <si>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</si>
  <si>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</si>
  <si>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</si>
  <si>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</si>
  <si>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</si>
  <si>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</si>
  <si>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</si>
  <si>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</si>
  <si>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</si>
  <si>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</si>
  <si>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</si>
  <si>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</si>
  <si>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</si>
  <si>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</si>
  <si>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</si>
  <si>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</si>
  <si>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</si>
  <si>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</si>
  <si>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</si>
  <si>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</si>
  <si>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</si>
  <si>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</si>
  <si>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</si>
  <si>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</si>
  <si>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</si>
  <si>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</si>
  <si>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</si>
  <si>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</si>
  <si>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</si>
  <si>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</si>
  <si>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</si>
  <si>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</si>
  <si>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</si>
  <si>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</si>
  <si>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</si>
  <si>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</si>
  <si>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</si>
  <si>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</si>
  <si>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</si>
  <si>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</si>
  <si>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</si>
  <si>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</si>
  <si>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</si>
  <si>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</si>
  <si>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</si>
  <si>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</si>
  <si>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</si>
  <si>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</si>
  <si>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</si>
  <si>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</si>
  <si>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</si>
  <si>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</si>
  <si>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</si>
  <si>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</si>
  <si>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</si>
  <si>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</si>
  <si>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</si>
  <si>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</si>
  <si>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</si>
  <si>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</si>
  <si>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</si>
  <si>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</si>
  <si>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</si>
  <si>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</si>
  <si>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</si>
  <si>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</si>
  <si>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</si>
  <si>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</si>
  <si>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</si>
  <si>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</si>
  <si>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</si>
  <si>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</si>
  <si>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</si>
  <si>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</si>
  <si>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</si>
  <si>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</si>
  <si>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</si>
  <si>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</si>
  <si>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</si>
  <si>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</si>
  <si>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</si>
  <si>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</si>
  <si>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</si>
  <si>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</si>
  <si>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</si>
  <si>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</si>
  <si>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</si>
  <si>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</si>
  <si>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</si>
  <si>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</si>
  <si>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</si>
  <si>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</si>
  <si>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</si>
  <si>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</si>
  <si>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</si>
  <si>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</si>
  <si>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</si>
  <si>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</si>
  <si>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</si>
  <si>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</si>
  <si>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</si>
  <si>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</si>
  <si>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</si>
  <si>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</si>
  <si>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</si>
  <si>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</si>
  <si>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</si>
  <si>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</si>
  <si>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</si>
  <si>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</si>
  <si>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</si>
  <si>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</si>
  <si>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</si>
  <si>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</si>
  <si>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</si>
  <si>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</si>
  <si>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</si>
  <si>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</si>
  <si>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</si>
  <si>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</si>
  <si>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</si>
  <si>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</si>
  <si>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</si>
  <si>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</si>
  <si>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</si>
  <si>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</si>
  <si>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</si>
  <si>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</si>
  <si>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</si>
  <si>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</si>
  <si>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</si>
  <si>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</si>
  <si>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</si>
  <si>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</si>
  <si>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</si>
  <si>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</si>
  <si>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</si>
  <si>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</si>
  <si>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</si>
  <si>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</si>
  <si>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</si>
  <si>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</si>
  <si>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</si>
  <si>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</si>
  <si>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</si>
  <si>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</si>
  <si>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</si>
  <si>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</si>
  <si>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</si>
  <si>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</si>
  <si>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</si>
  <si>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</si>
  <si>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</si>
  <si>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</si>
  <si>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</si>
  <si>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</si>
  <si>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</si>
  <si>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</si>
  <si>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</si>
  <si>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</si>
  <si>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</si>
  <si>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</si>
  <si>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</si>
  <si>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</si>
  <si>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</si>
  <si>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</si>
  <si>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</si>
  <si>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</si>
  <si>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</si>
  <si>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</si>
  <si>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</si>
  <si>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</si>
  <si>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</si>
  <si>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</si>
  <si>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</si>
  <si>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</si>
  <si>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</si>
  <si>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</si>
  <si>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</si>
  <si>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</si>
  <si>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</si>
  <si>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</si>
  <si>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</si>
  <si>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</si>
  <si>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</si>
  <si>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</si>
  <si>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</si>
  <si>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</si>
  <si>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</si>
  <si>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</si>
  <si>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</si>
  <si>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</si>
  <si>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</si>
  <si>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</si>
  <si>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</si>
  <si>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</si>
  <si>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</si>
  <si>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</si>
  <si>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</si>
  <si>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</si>
  <si>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</si>
  <si>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</si>
  <si>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</si>
  <si>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</si>
  <si>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</si>
  <si>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</si>
  <si>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</si>
  <si>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</si>
  <si>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</si>
  <si>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</si>
  <si>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</si>
  <si>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</si>
  <si>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</si>
  <si>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</si>
  <si>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</si>
  <si>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</si>
  <si>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</si>
  <si>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</si>
  <si>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</si>
  <si>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</si>
  <si>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</si>
  <si>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</si>
  <si>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</si>
  <si>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</si>
  <si>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</si>
  <si>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</si>
  <si>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</si>
  <si>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</si>
  <si>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</si>
  <si>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</si>
  <si>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</si>
  <si>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</si>
  <si>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</si>
  <si>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</si>
  <si>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</si>
  <si>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</si>
  <si>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</si>
  <si>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</si>
  <si>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</si>
  <si>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</si>
  <si>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</si>
  <si>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</si>
  <si>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</si>
  <si>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</si>
  <si>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</si>
  <si>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</si>
  <si>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</si>
  <si>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</si>
  <si>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</si>
  <si>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</si>
  <si>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</si>
  <si>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</si>
  <si>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</si>
  <si>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</si>
  <si>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</si>
  <si>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</si>
  <si>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</si>
  <si>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</si>
  <si>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</si>
  <si>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</si>
  <si>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</si>
  <si>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</si>
  <si>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</si>
  <si>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</si>
  <si>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</si>
  <si>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</si>
  <si>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</si>
  <si>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</si>
  <si>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</si>
  <si>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</si>
  <si>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</si>
  <si>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</si>
  <si>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</si>
  <si>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</si>
  <si>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</si>
  <si>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</si>
  <si>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</si>
  <si>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</si>
  <si>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</si>
  <si>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</si>
  <si>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</si>
  <si>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</si>
  <si>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</si>
  <si>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</si>
  <si>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</si>
  <si>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</si>
  <si>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</si>
  <si>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</si>
  <si>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</si>
  <si>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</si>
  <si>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</si>
  <si>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</si>
  <si>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</si>
  <si>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</si>
  <si>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</si>
  <si>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</si>
  <si>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</si>
  <si>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</si>
  <si>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</si>
  <si>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</si>
  <si>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</si>
  <si>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</si>
  <si>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</si>
  <si>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</si>
  <si>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</si>
  <si>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</si>
  <si>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</si>
  <si>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</si>
  <si>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</si>
  <si>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</si>
  <si>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</si>
  <si>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</si>
  <si>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</si>
  <si>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</si>
  <si>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</si>
  <si>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</si>
  <si>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</si>
  <si>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</si>
  <si>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</si>
  <si>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</si>
  <si>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</si>
  <si>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</si>
  <si>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</si>
  <si>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</si>
  <si>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</si>
  <si>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</si>
  <si>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</si>
  <si>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</si>
  <si>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</si>
  <si>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</si>
  <si>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</si>
  <si>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</si>
  <si>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</si>
  <si>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</si>
  <si>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</si>
  <si>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</si>
  <si>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</si>
  <si>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</si>
  <si>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</si>
  <si>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</si>
  <si>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</si>
  <si>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</si>
  <si>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</si>
  <si>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</si>
  <si>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</si>
  <si>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</si>
  <si>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</si>
  <si>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</si>
  <si>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</si>
  <si>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</si>
  <si>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</si>
  <si>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</si>
  <si>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</si>
  <si>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</si>
  <si>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</si>
  <si>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</si>
  <si>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</si>
  <si>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</si>
  <si>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</si>
  <si>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</si>
  <si>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</si>
  <si>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</si>
  <si>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</si>
  <si>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</si>
  <si>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</si>
  <si>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</si>
  <si>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</si>
  <si>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</si>
  <si>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</si>
  <si>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</si>
  <si>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</si>
  <si>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</si>
  <si>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</si>
  <si>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</si>
  <si>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</si>
  <si>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</si>
  <si>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</si>
  <si>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</si>
  <si>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</si>
  <si>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</si>
  <si>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</si>
  <si>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</si>
  <si>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</si>
  <si>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</si>
  <si>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</si>
  <si>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</si>
  <si>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</si>
  <si>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</si>
  <si>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</si>
  <si>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</si>
  <si>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</si>
  <si>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</si>
  <si>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</si>
  <si>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</si>
  <si>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</si>
  <si>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</si>
  <si>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</si>
  <si>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</si>
  <si>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</si>
  <si>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</si>
  <si>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</si>
  <si>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</si>
  <si>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</si>
  <si>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</si>
  <si>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</si>
  <si>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</si>
  <si>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</si>
  <si>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</si>
  <si>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</si>
  <si>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</si>
  <si>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</si>
  <si>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</si>
  <si>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</si>
  <si>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</si>
  <si>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</si>
  <si>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</si>
  <si>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</si>
  <si>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</si>
  <si>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</si>
  <si>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</si>
  <si>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</si>
  <si>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</si>
  <si>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</si>
  <si>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</si>
  <si>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</si>
  <si>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</si>
  <si>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</si>
  <si>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</si>
  <si>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</si>
  <si>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</si>
  <si>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</si>
  <si>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</si>
  <si>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</si>
  <si>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</si>
  <si>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</si>
  <si>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</si>
  <si>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</si>
  <si>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</si>
  <si>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</si>
  <si>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</si>
  <si>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</si>
  <si>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</si>
  <si>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</si>
  <si>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</si>
  <si>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</si>
  <si>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</si>
  <si>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</si>
  <si>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</si>
  <si>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</si>
  <si>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</si>
  <si>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</si>
  <si>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</si>
  <si>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</si>
  <si>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</si>
  <si>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</si>
  <si>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</si>
  <si>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</si>
  <si>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</si>
  <si>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</si>
  <si>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</si>
  <si>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</si>
  <si>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</si>
  <si>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</si>
  <si>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</si>
  <si>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</si>
  <si>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</si>
  <si>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</si>
  <si>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</si>
  <si>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</si>
  <si>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</si>
  <si>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</si>
  <si>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</si>
  <si>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</si>
  <si>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</si>
  <si>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</si>
  <si>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</si>
  <si>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</si>
  <si>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</si>
  <si>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</si>
  <si>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</si>
  <si>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</si>
  <si>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</si>
  <si>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</si>
  <si>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</si>
  <si>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</si>
  <si>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</si>
  <si>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</si>
  <si>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</si>
  <si>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</si>
  <si>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</si>
  <si>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</si>
  <si>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</si>
  <si>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</si>
  <si>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</si>
  <si>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</si>
  <si>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</si>
  <si>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</si>
  <si>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</si>
  <si>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</si>
  <si>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</si>
  <si>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</si>
  <si>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</si>
  <si>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</si>
  <si>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</si>
  <si>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</si>
  <si>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</si>
  <si>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</si>
  <si>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</si>
  <si>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</si>
  <si>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</si>
  <si>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</si>
  <si>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</si>
  <si>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</si>
  <si>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</si>
  <si>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</si>
  <si>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</si>
  <si>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</si>
  <si>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</si>
  <si>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</si>
  <si>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</si>
  <si>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</si>
  <si>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</si>
  <si>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</si>
  <si>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</si>
  <si>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</si>
  <si>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</si>
  <si>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</si>
  <si>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</si>
  <si>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</si>
  <si>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</si>
  <si>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</si>
  <si>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</si>
  <si>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</si>
  <si>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</si>
  <si>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</si>
  <si>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</si>
  <si>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</si>
  <si>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</si>
  <si>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</si>
  <si>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</si>
  <si>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</si>
  <si>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</si>
  <si>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</si>
  <si>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</si>
  <si>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</si>
  <si>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</si>
  <si>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</si>
  <si>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</si>
  <si>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</si>
  <si>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</si>
  <si>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</si>
  <si>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</si>
  <si>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</si>
  <si>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</si>
  <si>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</si>
  <si>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</si>
  <si>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</si>
  <si>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</si>
  <si>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</si>
  <si>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</si>
  <si>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</si>
  <si>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</si>
  <si>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</si>
  <si>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</si>
  <si>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</si>
  <si>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</si>
  <si>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</si>
  <si>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</si>
  <si>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</si>
  <si>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</si>
  <si>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</si>
  <si>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</si>
  <si>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</si>
  <si>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</si>
  <si>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</si>
  <si>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</si>
  <si>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</si>
  <si>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</si>
  <si>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</si>
  <si>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</si>
  <si>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</si>
  <si>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</si>
  <si>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</si>
  <si>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</si>
  <si>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</si>
  <si>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</si>
  <si>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</si>
  <si>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</si>
  <si>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</si>
  <si>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</si>
  <si>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</si>
  <si>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</si>
  <si>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</si>
  <si>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</si>
  <si>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</si>
  <si>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</si>
  <si>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</si>
  <si>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</si>
  <si>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</si>
  <si>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</si>
  <si>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</si>
  <si>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</si>
  <si>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</si>
  <si>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</si>
  <si>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</si>
  <si>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</si>
  <si>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</si>
  <si>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</si>
  <si>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</si>
  <si>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</si>
  <si>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</si>
  <si>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</si>
  <si>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</si>
  <si>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</si>
  <si>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</si>
  <si>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</si>
  <si>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</si>
  <si>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</si>
  <si>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</si>
  <si>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</si>
  <si>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</si>
  <si>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</si>
  <si>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</si>
  <si>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</si>
  <si>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</si>
  <si>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</si>
  <si>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</si>
  <si>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</si>
  <si>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</si>
  <si>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</si>
  <si>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</si>
  <si>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</si>
  <si>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</si>
  <si>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</si>
  <si>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</si>
  <si>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</si>
  <si>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</si>
  <si>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</si>
  <si>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</si>
  <si>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</si>
  <si>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</si>
  <si>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</si>
  <si>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</si>
  <si>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</si>
  <si>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</si>
  <si>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</si>
  <si>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</si>
  <si>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</si>
  <si>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</si>
  <si>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</si>
  <si>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</si>
  <si>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</si>
  <si>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</si>
  <si>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</si>
  <si>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</si>
  <si>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</si>
  <si>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</si>
  <si>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</si>
  <si>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</si>
  <si>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</si>
  <si>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</si>
  <si>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</si>
  <si>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</si>
  <si>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</si>
  <si>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</si>
  <si>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</si>
  <si>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</si>
  <si>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</si>
  <si>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</si>
  <si>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</si>
  <si>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</si>
  <si>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</si>
  <si>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</si>
  <si>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</si>
  <si>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</si>
  <si>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</si>
  <si>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</si>
  <si>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</si>
  <si>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</si>
  <si>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</si>
  <si>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</si>
  <si>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</si>
  <si>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</si>
  <si>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</si>
  <si>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</si>
  <si>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</si>
  <si>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</si>
  <si>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</si>
  <si>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</si>
  <si>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</si>
  <si>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</si>
  <si>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</si>
  <si>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</si>
  <si>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</si>
  <si>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</si>
  <si>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</si>
  <si>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</si>
  <si>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</si>
  <si>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</si>
  <si>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</si>
  <si>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</si>
  <si>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</si>
  <si>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</si>
  <si>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</si>
  <si>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</si>
  <si>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</si>
  <si>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</si>
  <si>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</si>
  <si>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</si>
  <si>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</si>
  <si>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</si>
  <si>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</si>
  <si>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</si>
  <si>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</si>
  <si>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</si>
  <si>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</si>
  <si>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</si>
  <si>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</si>
  <si>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</si>
  <si>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</si>
  <si>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</si>
  <si>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</si>
  <si>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</si>
  <si>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</si>
  <si>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</si>
  <si>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</si>
  <si>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</si>
  <si>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</si>
  <si>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</si>
  <si>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</si>
  <si>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</si>
  <si>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</si>
  <si>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</si>
  <si>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</si>
  <si>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</si>
  <si>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</si>
  <si>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</si>
  <si>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</si>
  <si>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</si>
  <si>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</si>
  <si>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</si>
  <si>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</si>
  <si>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</si>
  <si>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</si>
  <si>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</si>
  <si>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</si>
  <si>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</si>
  <si>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</si>
  <si>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</si>
  <si>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</si>
  <si>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</si>
  <si>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</si>
  <si>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</si>
  <si>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</si>
  <si>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</si>
  <si>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</si>
  <si>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</si>
  <si>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</si>
  <si>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</si>
  <si>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</si>
  <si>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</si>
  <si>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</si>
  <si>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</si>
  <si>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</si>
  <si>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</si>
  <si>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</si>
  <si>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</si>
  <si>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</si>
  <si>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</si>
  <si>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</si>
  <si>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</si>
  <si>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</si>
  <si>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</si>
  <si>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</si>
  <si>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</si>
  <si>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</si>
  <si>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</si>
  <si>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</si>
  <si>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</si>
  <si>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</si>
  <si>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</si>
  <si>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</si>
  <si>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</si>
  <si>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</si>
  <si>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</si>
  <si>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</si>
  <si>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</si>
  <si>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</si>
  <si>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</si>
  <si>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</si>
  <si>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</si>
  <si>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</si>
  <si>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</si>
  <si>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</si>
  <si>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</si>
  <si>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</si>
  <si>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</si>
  <si>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</si>
  <si>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</si>
  <si>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</si>
  <si>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</si>
  <si>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</si>
  <si>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</si>
  <si>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</si>
  <si>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</si>
  <si>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</si>
  <si>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</si>
  <si>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</si>
  <si>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</si>
  <si>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</si>
  <si>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</si>
  <si>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</si>
  <si>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</si>
  <si>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</si>
  <si>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</si>
  <si>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</si>
  <si>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</si>
  <si>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</si>
  <si>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</si>
  <si>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</si>
  <si>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</si>
  <si>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</si>
  <si>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</si>
  <si>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</si>
  <si>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</si>
  <si>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</si>
  <si>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</si>
  <si>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</si>
  <si>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</si>
  <si>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</si>
  <si>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</si>
  <si>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</si>
  <si>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</si>
  <si>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</si>
  <si>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</si>
  <si>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</si>
  <si>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</si>
  <si>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</si>
  <si>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</si>
  <si>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</si>
  <si>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</si>
  <si>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</si>
  <si>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</si>
  <si>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</si>
  <si>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</si>
  <si>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</si>
  <si>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</si>
  <si>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</si>
  <si>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</si>
  <si>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</si>
  <si>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</si>
  <si>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</si>
  <si>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</si>
  <si>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</si>
  <si>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</si>
  <si>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</si>
  <si>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</si>
  <si>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</si>
  <si>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</si>
  <si>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</si>
  <si>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</si>
  <si>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</si>
  <si>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</si>
  <si>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</si>
  <si>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</si>
  <si>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</si>
  <si>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</si>
  <si>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</si>
  <si>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</si>
  <si>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</si>
  <si>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</si>
  <si>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</si>
  <si>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</si>
  <si>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</si>
  <si>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</si>
  <si>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</si>
  <si>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</si>
  <si>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</si>
  <si>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</si>
  <si>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</si>
  <si>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</si>
  <si>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</si>
  <si>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</si>
  <si>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</si>
  <si>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</si>
  <si>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</si>
  <si>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</si>
  <si>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</si>
  <si>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</si>
  <si>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</si>
  <si>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</si>
  <si>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</si>
  <si>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</si>
  <si>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</si>
  <si>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</si>
  <si>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</si>
  <si>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</si>
  <si>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</si>
  <si>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</si>
  <si>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</si>
  <si>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</si>
  <si>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</si>
  <si>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</si>
  <si>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</si>
  <si>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</si>
  <si>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</si>
  <si>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</si>
  <si>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</si>
  <si>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</si>
  <si>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</si>
  <si>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</si>
  <si>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</si>
  <si>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</si>
  <si>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</si>
  <si>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</si>
  <si>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</si>
  <si>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</si>
  <si>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</si>
  <si>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</si>
  <si>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</si>
  <si>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</si>
  <si>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</si>
  <si>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</si>
  <si>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</si>
  <si>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</si>
  <si>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</si>
  <si>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</si>
  <si>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</si>
  <si>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</si>
  <si>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</si>
  <si>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</si>
  <si>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</si>
  <si>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</si>
  <si>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</si>
  <si>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</si>
  <si>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</si>
  <si>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</si>
  <si>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</si>
  <si>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</si>
  <si>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</si>
  <si>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</si>
  <si>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</si>
  <si>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</si>
  <si>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</si>
  <si>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</si>
  <si>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</si>
  <si>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</si>
  <si>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</si>
  <si>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</si>
  <si>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</si>
  <si>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</si>
  <si>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</si>
  <si>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</si>
  <si>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</si>
  <si>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</si>
  <si>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</si>
  <si>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</si>
  <si>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</si>
  <si>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</si>
  <si>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</si>
  <si>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</si>
  <si>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</si>
  <si>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</si>
  <si>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</si>
  <si>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</si>
  <si>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</si>
  <si>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</si>
  <si>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</si>
  <si>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</si>
  <si>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</si>
  <si>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</si>
  <si>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</si>
  <si>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</si>
  <si>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</si>
  <si>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</si>
  <si>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</si>
  <si>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</si>
  <si>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</si>
  <si>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</si>
  <si>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</si>
  <si>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</si>
  <si>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</si>
  <si>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</si>
  <si>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</si>
  <si>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</si>
  <si>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</si>
  <si>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</si>
  <si>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</si>
  <si>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</si>
  <si>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</si>
  <si>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</si>
  <si>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</si>
  <si>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</si>
  <si>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</si>
  <si>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</si>
  <si>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</si>
  <si>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</si>
  <si>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</si>
  <si>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</si>
  <si>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</si>
  <si>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</si>
  <si>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</si>
  <si>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</si>
  <si>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</si>
  <si>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</si>
  <si>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</si>
  <si>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</si>
  <si>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</si>
  <si>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</si>
  <si>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</si>
  <si>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</si>
  <si>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</si>
  <si>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</si>
  <si>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</si>
  <si>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</si>
  <si>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</si>
  <si>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</si>
  <si>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</si>
  <si>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</si>
  <si>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</si>
  <si>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</si>
  <si>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</si>
  <si>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</si>
  <si>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</si>
  <si>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</si>
  <si>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</si>
  <si>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</si>
  <si>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</si>
  <si>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</si>
  <si>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</si>
  <si>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</si>
  <si>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</si>
  <si>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</si>
  <si>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</si>
  <si>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</si>
  <si>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</si>
  <si>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</si>
  <si>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</si>
  <si>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</si>
  <si>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</si>
  <si>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</si>
  <si>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</si>
  <si>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</si>
  <si>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</si>
  <si>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</si>
  <si>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</si>
  <si>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</si>
  <si>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</si>
  <si>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</si>
  <si>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</si>
  <si>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</si>
  <si>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</si>
  <si>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</si>
  <si>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</si>
  <si>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</si>
  <si>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</si>
  <si>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</si>
  <si>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</si>
  <si>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</si>
  <si>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</si>
  <si>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</si>
  <si>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</si>
  <si>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</si>
  <si>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</si>
  <si>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</si>
  <si>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</si>
  <si>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</si>
  <si>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</si>
  <si>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</si>
  <si>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</si>
  <si>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</si>
  <si>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</si>
  <si>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</si>
  <si>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</si>
  <si>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</si>
  <si>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</si>
  <si>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</si>
  <si>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</si>
  <si>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</si>
  <si>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</si>
  <si>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</si>
  <si>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</si>
  <si>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</si>
  <si>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</si>
  <si>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</si>
  <si>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</si>
  <si>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</si>
  <si>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</si>
  <si>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</si>
  <si>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</si>
  <si>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</si>
  <si>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</si>
  <si>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</si>
  <si>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</si>
  <si>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</si>
  <si>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</si>
  <si>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</si>
  <si>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</si>
  <si>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</si>
  <si>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</si>
  <si>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</si>
  <si>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</si>
  <si>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</si>
  <si>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</si>
  <si>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</si>
  <si>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</si>
  <si>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</si>
  <si>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</si>
  <si>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</si>
  <si>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</si>
  <si>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</si>
  <si>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</si>
  <si>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</si>
  <si>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</si>
  <si>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</si>
  <si>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</si>
  <si>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</si>
  <si>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</si>
  <si>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</si>
  <si>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</si>
  <si>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</si>
  <si>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</si>
  <si>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</si>
  <si>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</si>
  <si>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</si>
  <si>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</si>
  <si>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</si>
  <si>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</si>
  <si>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</si>
  <si>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</si>
  <si>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</si>
  <si>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</si>
  <si>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</si>
  <si>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</si>
  <si>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</si>
  <si>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</si>
  <si>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</si>
  <si>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</si>
  <si>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</si>
  <si>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</si>
  <si>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</si>
  <si>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</si>
  <si>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</si>
  <si>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</si>
  <si>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</si>
  <si>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</si>
  <si>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</si>
  <si>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</si>
  <si>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</si>
  <si>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</si>
  <si>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</si>
  <si>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</si>
  <si>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</si>
  <si>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</si>
  <si>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</si>
  <si>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</si>
  <si>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</si>
  <si>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</si>
  <si>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</si>
  <si>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</si>
  <si>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</si>
  <si>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</si>
  <si>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</si>
  <si>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</si>
  <si>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</si>
  <si>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</si>
  <si>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</si>
  <si>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</si>
  <si>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</si>
  <si>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</si>
  <si>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</si>
  <si>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</si>
  <si>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</si>
  <si>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</si>
  <si>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</si>
  <si>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</si>
  <si>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</si>
  <si>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</si>
  <si>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</si>
  <si>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</si>
  <si>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</si>
  <si>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</si>
  <si>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</si>
  <si>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</si>
  <si>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</si>
  <si>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</si>
  <si>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</si>
  <si>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</si>
  <si>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</si>
  <si>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</si>
  <si>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</si>
  <si>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</si>
  <si>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</si>
  <si>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</si>
  <si>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</si>
  <si>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</si>
  <si>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</si>
  <si>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</si>
  <si>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</si>
  <si>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</si>
  <si>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</si>
  <si>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</si>
  <si>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</si>
  <si>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</si>
  <si>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</si>
  <si>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</si>
  <si>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</si>
  <si>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</si>
  <si>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</si>
  <si>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</si>
  <si>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</si>
  <si>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</si>
  <si>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</si>
  <si>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</si>
  <si>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</si>
  <si>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</si>
  <si>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</si>
  <si>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</si>
  <si>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</si>
  <si>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</si>
  <si>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</si>
  <si>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</si>
  <si>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</si>
  <si>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</si>
  <si>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</si>
  <si>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</si>
  <si>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</si>
  <si>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</si>
  <si>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</si>
  <si>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</si>
  <si>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</si>
  <si>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</si>
  <si>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</si>
  <si>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</si>
  <si>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</si>
  <si>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</si>
  <si>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</si>
  <si>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</si>
  <si>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</si>
  <si>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</si>
  <si>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</si>
  <si>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</si>
  <si>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</si>
  <si>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</si>
  <si>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</si>
  <si>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</si>
  <si>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</si>
  <si>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</si>
  <si>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</si>
  <si>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</si>
  <si>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</si>
  <si>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</si>
  <si>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</si>
  <si>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</si>
  <si>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</si>
  <si>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</si>
  <si>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</si>
  <si>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</si>
  <si>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</si>
  <si>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</si>
  <si>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</si>
  <si>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</si>
  <si>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</si>
  <si>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</si>
  <si>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</si>
  <si>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</si>
  <si>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</si>
  <si>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</si>
  <si>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</si>
  <si>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</si>
  <si>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</si>
  <si>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</si>
  <si>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</si>
  <si>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</si>
  <si>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</si>
  <si>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</si>
  <si>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</si>
  <si>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</si>
  <si>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</si>
  <si>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</si>
  <si>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</si>
  <si>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</si>
  <si>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</si>
  <si>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</si>
  <si>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</si>
  <si>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</si>
  <si>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</si>
  <si>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</si>
  <si>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</si>
  <si>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</si>
  <si>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</si>
  <si>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</si>
  <si>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</si>
  <si>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</si>
  <si>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</si>
  <si>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</si>
  <si>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</si>
  <si>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</si>
  <si>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</si>
  <si>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</si>
  <si>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</si>
  <si>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</si>
  <si>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</si>
  <si>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</si>
  <si>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</si>
  <si>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</si>
  <si>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</si>
  <si>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</si>
  <si>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</si>
  <si>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</si>
  <si>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</si>
  <si>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</si>
  <si>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</si>
  <si>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</si>
  <si>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</si>
  <si>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</si>
  <si>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</si>
  <si>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</si>
  <si>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</si>
  <si>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</si>
  <si>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</si>
  <si>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</si>
  <si>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</si>
  <si>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</si>
  <si>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</si>
  <si>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</si>
  <si>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</si>
  <si>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</si>
  <si>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</si>
  <si>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</si>
  <si>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</si>
  <si>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</si>
  <si>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</si>
  <si>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</si>
  <si>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</si>
  <si>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</si>
  <si>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</si>
  <si>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</si>
  <si>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</si>
  <si>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</si>
  <si>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</si>
  <si>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</si>
  <si>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</si>
  <si>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</si>
  <si>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</si>
  <si>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</si>
  <si>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</si>
  <si>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</si>
  <si>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</si>
  <si>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</si>
  <si>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</si>
  <si>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</si>
  <si>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</si>
  <si>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</si>
  <si>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</si>
  <si>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</si>
  <si>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</si>
  <si>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</si>
  <si>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</si>
  <si>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</si>
  <si>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</si>
  <si>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</si>
  <si>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</si>
  <si>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</si>
  <si>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</si>
  <si>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</si>
  <si>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</si>
  <si>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</si>
  <si>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</si>
  <si>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</si>
  <si>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</si>
  <si>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</si>
  <si>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</si>
  <si>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</si>
  <si>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</si>
  <si>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</si>
  <si>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</si>
  <si>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</si>
  <si>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</si>
  <si>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</si>
  <si>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</si>
  <si>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</si>
  <si>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</si>
  <si>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</si>
  <si>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</si>
  <si>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</si>
  <si>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</si>
  <si>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</si>
  <si>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</si>
  <si>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</si>
  <si>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</si>
  <si>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</si>
  <si>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</si>
  <si>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</si>
  <si>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</si>
  <si>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</si>
  <si>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</si>
  <si>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</si>
  <si>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</si>
  <si>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</si>
  <si>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</si>
  <si>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</si>
  <si>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</si>
  <si>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</si>
  <si>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</si>
  <si>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</si>
  <si>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</si>
  <si>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</si>
  <si>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</si>
  <si>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</si>
  <si>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</si>
  <si>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</si>
  <si>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</si>
  <si>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</si>
  <si>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</si>
  <si>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</si>
  <si>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</si>
  <si>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</si>
  <si>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</si>
  <si>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</si>
  <si>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</si>
  <si>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</si>
  <si>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</si>
  <si>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</si>
  <si>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</si>
  <si>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</si>
  <si>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</si>
  <si>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</si>
  <si>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</si>
  <si>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</si>
  <si>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</si>
  <si>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</si>
  <si>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</si>
  <si>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</si>
  <si>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</si>
  <si>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</si>
  <si>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</si>
  <si>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</si>
  <si>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</si>
  <si>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</si>
  <si>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</si>
  <si>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</si>
  <si>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</si>
  <si>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</si>
  <si>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</si>
  <si>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</si>
  <si>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</si>
  <si>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</si>
  <si>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</si>
  <si>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</si>
  <si>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</si>
  <si>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</si>
  <si>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</si>
  <si>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</si>
  <si>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</si>
  <si>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</si>
  <si>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</si>
  <si>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</si>
  <si>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</si>
  <si>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</si>
  <si>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</si>
  <si>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</si>
  <si>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</si>
  <si>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</si>
  <si>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</si>
  <si>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</si>
  <si>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</si>
  <si>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</si>
  <si>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</si>
  <si>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</si>
  <si>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</si>
  <si>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</si>
  <si>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</si>
  <si>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</si>
  <si>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</si>
  <si>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</si>
  <si>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</si>
  <si>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</si>
  <si>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</si>
  <si>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</si>
  <si>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</si>
  <si>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</si>
  <si>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</si>
  <si>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</si>
  <si>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</si>
  <si>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</si>
  <si>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</si>
  <si>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</si>
  <si>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</si>
  <si>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</si>
  <si>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</si>
  <si>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</si>
  <si>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</si>
  <si>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</si>
  <si>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</si>
  <si>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</si>
  <si>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</si>
  <si>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</si>
  <si>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</si>
  <si>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</si>
  <si>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</si>
  <si>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</si>
  <si>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</si>
  <si>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</si>
  <si>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</si>
  <si>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</si>
  <si>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</si>
  <si>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</si>
  <si>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</si>
  <si>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</si>
  <si>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</si>
  <si>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</si>
  <si>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</si>
  <si>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</si>
  <si>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</si>
  <si>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</si>
  <si>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</si>
  <si>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</si>
  <si>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</si>
  <si>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</si>
  <si>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</si>
  <si>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</si>
  <si>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</si>
  <si>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</si>
  <si>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</si>
  <si>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</si>
  <si>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</si>
  <si>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</si>
  <si>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</si>
  <si>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</si>
  <si>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</si>
  <si>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</si>
  <si>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</si>
  <si>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</si>
  <si>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</si>
  <si>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</si>
  <si>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</si>
  <si>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</si>
  <si>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</si>
  <si>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</si>
  <si>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</si>
  <si>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</si>
  <si>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</si>
  <si>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</si>
  <si>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</si>
  <si>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</si>
  <si>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</si>
  <si>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</si>
  <si>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</si>
  <si>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</si>
  <si>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</si>
  <si>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</si>
  <si>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</si>
  <si>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</si>
  <si>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</si>
  <si>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</si>
  <si>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</si>
  <si>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</si>
  <si>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</si>
  <si>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</si>
  <si>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</si>
  <si>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</si>
  <si>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</si>
  <si>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</si>
  <si>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</si>
  <si>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</si>
  <si>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</si>
  <si>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</si>
  <si>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</si>
  <si>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</si>
  <si>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</si>
  <si>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</si>
  <si>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</si>
  <si>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</si>
  <si>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</si>
  <si>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</si>
  <si>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</si>
  <si>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</si>
  <si>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</si>
  <si>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</si>
  <si>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</si>
  <si>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</si>
  <si>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</si>
  <si>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</si>
  <si>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</si>
  <si>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</si>
  <si>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</si>
  <si>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</si>
  <si>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</si>
  <si>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</si>
  <si>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</si>
  <si>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</si>
  <si>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</si>
  <si>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</si>
  <si>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</si>
  <si>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</si>
  <si>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</si>
  <si>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</si>
  <si>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</si>
  <si>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</si>
  <si>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</si>
  <si>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</si>
  <si>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</si>
  <si>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</si>
  <si>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</si>
  <si>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</si>
  <si>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</si>
  <si>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</si>
  <si>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</si>
  <si>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</si>
  <si>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</si>
  <si>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</si>
  <si>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</si>
  <si>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</si>
  <si>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</si>
  <si>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</si>
  <si>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</si>
  <si>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</si>
  <si>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</si>
  <si>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</si>
  <si>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</si>
  <si>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</si>
  <si>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</si>
  <si>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</si>
  <si>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</si>
  <si>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</si>
  <si>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</si>
  <si>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</si>
  <si>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</si>
  <si>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</si>
  <si>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</si>
  <si>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</si>
  <si>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</si>
  <si>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</si>
  <si>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</si>
  <si>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</si>
  <si>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</si>
  <si>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</si>
  <si>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</si>
  <si>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</si>
  <si>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</si>
  <si>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</si>
  <si>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</si>
  <si>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</si>
  <si>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</si>
  <si>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</si>
  <si>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</si>
  <si>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</si>
  <si>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</si>
  <si>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</si>
  <si>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</si>
  <si>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</si>
  <si>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</si>
  <si>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</si>
  <si>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</si>
  <si>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</si>
  <si>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</si>
  <si>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</si>
  <si>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</si>
  <si>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</si>
  <si>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</si>
  <si>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</si>
  <si>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</si>
  <si>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</si>
  <si>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</si>
  <si>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</si>
  <si>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</si>
  <si>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</si>
  <si>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</si>
  <si>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</si>
  <si>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</si>
  <si>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</si>
  <si>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</si>
  <si>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</si>
  <si>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</si>
  <si>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</si>
  <si>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</si>
  <si>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</si>
  <si>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</si>
  <si>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</si>
  <si>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</si>
  <si>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</si>
  <si>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</si>
  <si>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</si>
  <si>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</si>
  <si>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</si>
  <si>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</si>
  <si>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</si>
  <si>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</si>
  <si>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</si>
  <si>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</si>
  <si>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</si>
  <si>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</si>
  <si>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</si>
  <si>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</si>
  <si>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</si>
  <si>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</si>
  <si>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</si>
  <si>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</si>
  <si>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</si>
  <si>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</si>
  <si>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</si>
  <si>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</si>
  <si>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</si>
  <si>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</si>
  <si>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</si>
  <si>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</si>
  <si>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</si>
  <si>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</si>
  <si>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</si>
  <si>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</si>
  <si>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</si>
  <si>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</si>
  <si>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</si>
  <si>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</si>
  <si>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</si>
  <si>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</si>
  <si>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</si>
  <si>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</si>
  <si>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</si>
  <si>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</si>
  <si>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</si>
  <si>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</si>
  <si>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</si>
  <si>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</si>
  <si>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</si>
  <si>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</si>
  <si>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</si>
  <si>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</si>
  <si>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</si>
  <si>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</si>
  <si>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</si>
  <si>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</si>
  <si>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</si>
  <si>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</si>
  <si>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</si>
  <si>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</si>
  <si>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</si>
  <si>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</si>
  <si>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</si>
  <si>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</si>
  <si>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</si>
  <si>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</si>
  <si>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</si>
  <si>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</si>
  <si>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</si>
  <si>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</si>
  <si>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</si>
  <si>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</si>
  <si>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</si>
  <si>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</si>
  <si>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</si>
  <si>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</si>
  <si>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</si>
  <si>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</si>
  <si>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</si>
  <si>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</si>
  <si>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</si>
  <si>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</si>
  <si>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</si>
  <si>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</si>
  <si>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</si>
  <si>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</si>
  <si>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</si>
  <si>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</si>
  <si>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</si>
  <si>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</si>
  <si>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</si>
  <si>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</si>
  <si>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</si>
  <si>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</si>
  <si>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</si>
  <si>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</si>
  <si>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</si>
  <si>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</si>
  <si>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</si>
  <si>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</si>
  <si>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</si>
  <si>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</si>
  <si>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</si>
  <si>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</si>
  <si>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</si>
  <si>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</si>
  <si>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</si>
  <si>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</si>
  <si>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</si>
  <si>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</si>
  <si>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</si>
  <si>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</si>
  <si>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</si>
  <si>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</si>
  <si>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</si>
  <si>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</si>
  <si>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</si>
  <si>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</si>
  <si>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</si>
  <si>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</si>
  <si>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</si>
  <si>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</si>
  <si>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</si>
  <si>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</si>
  <si>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</si>
  <si>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</si>
  <si>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</si>
  <si>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</si>
  <si>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</si>
  <si>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</si>
  <si>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</si>
  <si>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</si>
  <si>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</si>
  <si>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</si>
  <si>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</si>
  <si>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</si>
  <si>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</si>
  <si>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</si>
  <si>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</si>
  <si>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</si>
  <si>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</si>
  <si>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</si>
  <si>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</si>
  <si>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</si>
  <si>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</si>
  <si>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</si>
  <si>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</si>
  <si>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</si>
  <si>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</si>
  <si>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</si>
  <si>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</si>
  <si>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</si>
  <si>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</si>
  <si>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</si>
  <si>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</si>
  <si>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</si>
  <si>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</si>
  <si>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</si>
  <si>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</si>
  <si>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</si>
  <si>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</si>
  <si>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</si>
  <si>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</si>
  <si>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</si>
  <si>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</si>
  <si>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</si>
  <si>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</si>
  <si>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</si>
  <si>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</si>
  <si>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</si>
  <si>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</si>
  <si>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</si>
  <si>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</si>
  <si>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</si>
  <si>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</si>
  <si>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</si>
  <si>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</si>
  <si>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</si>
  <si>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</si>
  <si>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</si>
  <si>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</si>
  <si>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</si>
  <si>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</si>
  <si>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</si>
  <si>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</si>
  <si>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</si>
  <si>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</si>
  <si>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</si>
  <si>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</si>
  <si>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</si>
  <si>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</si>
  <si>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</si>
  <si>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</si>
  <si>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</si>
  <si>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</si>
  <si>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</si>
  <si>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</si>
  <si>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</si>
  <si>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</si>
  <si>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</si>
  <si>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</si>
  <si>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</si>
  <si>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</si>
  <si>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</si>
  <si>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</si>
  <si>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</si>
  <si>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</si>
  <si>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</si>
  <si>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</si>
  <si>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</si>
  <si>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</si>
  <si>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</si>
  <si>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</si>
  <si>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</si>
  <si>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</si>
  <si>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</si>
  <si>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</si>
  <si>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</si>
  <si>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</si>
  <si>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</si>
  <si>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</si>
  <si>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</si>
  <si>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</si>
  <si>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</si>
  <si>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</si>
  <si>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</si>
  <si>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</si>
  <si>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</si>
  <si>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</si>
  <si>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</si>
  <si>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</si>
  <si>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</si>
  <si>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</si>
  <si>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</si>
  <si>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</si>
  <si>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</si>
  <si>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</si>
  <si>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</si>
  <si>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</si>
  <si>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</si>
  <si>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</si>
  <si>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</si>
  <si>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</si>
  <si>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</si>
  <si>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</si>
  <si>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</si>
  <si>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</si>
  <si>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</si>
  <si>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</si>
  <si>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</si>
  <si>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</si>
  <si>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</si>
  <si>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</si>
  <si>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</si>
  <si>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</si>
  <si>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</si>
  <si>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</si>
  <si>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</si>
  <si>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</si>
  <si>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</si>
  <si>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</si>
  <si>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</si>
  <si>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</si>
  <si>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</si>
  <si>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</si>
  <si>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</si>
  <si>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</si>
  <si>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</si>
  <si>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</si>
  <si>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</si>
  <si>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</si>
  <si>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</si>
  <si>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</si>
  <si>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</si>
  <si>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</si>
  <si>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</si>
  <si>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</si>
  <si>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</si>
  <si>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</si>
  <si>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</si>
  <si>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</si>
  <si>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</si>
  <si>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</si>
  <si>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</si>
  <si>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</si>
  <si>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</si>
  <si>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</si>
  <si>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</si>
  <si>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</si>
  <si>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</si>
  <si>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</si>
  <si>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</si>
  <si>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</si>
  <si>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</si>
  <si>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</si>
  <si>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</si>
  <si>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</si>
  <si>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</si>
  <si>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</si>
  <si>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</si>
  <si>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</si>
  <si>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</si>
  <si>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</si>
  <si>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</si>
  <si>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</si>
  <si>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</si>
  <si>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</si>
  <si>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</si>
  <si>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</si>
  <si>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</si>
  <si>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</si>
  <si>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</si>
  <si>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</si>
  <si>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</si>
  <si>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</si>
  <si>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</si>
  <si>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</si>
  <si>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</si>
  <si>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</si>
  <si>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</si>
  <si>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</si>
  <si>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</si>
  <si>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</si>
  <si>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</si>
  <si>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</si>
  <si>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</si>
  <si>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</si>
  <si>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</si>
  <si>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</si>
  <si>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</si>
  <si>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</si>
  <si>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</si>
  <si>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</si>
  <si>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</si>
  <si>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</si>
  <si>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</si>
  <si>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</si>
  <si>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</si>
  <si>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</si>
  <si>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</si>
  <si>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</si>
  <si>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</si>
  <si>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</si>
  <si>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</si>
  <si>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</si>
  <si>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</si>
  <si>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</si>
  <si>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</si>
  <si>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</si>
  <si>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</si>
  <si>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</si>
  <si>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</si>
  <si>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</si>
  <si>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</si>
  <si>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</si>
  <si>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</si>
  <si>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</si>
  <si>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</si>
  <si>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</si>
  <si>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</si>
  <si>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</si>
  <si>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</si>
  <si>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</si>
  <si>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</si>
  <si>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</si>
  <si>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</si>
  <si>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</si>
  <si>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</si>
  <si>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</si>
  <si>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</si>
  <si>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</si>
  <si>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</si>
  <si>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</si>
  <si>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</si>
  <si>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</si>
  <si>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</si>
  <si>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</si>
  <si>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</si>
  <si>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</si>
  <si>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</si>
  <si>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</si>
  <si>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</si>
  <si>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</si>
  <si>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</si>
  <si>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</si>
  <si>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</si>
  <si>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</si>
  <si>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</si>
  <si>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</si>
  <si>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</si>
  <si>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</si>
  <si>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</si>
  <si>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</si>
  <si>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</si>
  <si>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</si>
  <si>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</si>
  <si>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</si>
  <si>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</si>
  <si>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</si>
  <si>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</si>
  <si>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</si>
  <si>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</si>
  <si>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</si>
  <si>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</si>
  <si>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</si>
  <si>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</si>
  <si>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</si>
  <si>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</si>
  <si>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</si>
  <si>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</si>
  <si>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</si>
  <si>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</si>
  <si>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</si>
  <si>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</si>
  <si>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</si>
  <si>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</si>
  <si>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</si>
  <si>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</si>
  <si>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</si>
  <si>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</si>
  <si>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</si>
  <si>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</si>
  <si>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</si>
  <si>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</si>
  <si>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</si>
  <si>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</si>
  <si>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</si>
  <si>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</si>
  <si>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</si>
  <si>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</si>
  <si>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</si>
  <si>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</si>
  <si>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</si>
  <si>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</si>
  <si>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</si>
  <si>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</si>
  <si>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</si>
  <si>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</si>
  <si>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</si>
  <si>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</si>
  <si>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</si>
  <si>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</si>
  <si>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</si>
  <si>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</si>
  <si>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</si>
  <si>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</si>
  <si>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</si>
  <si>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</si>
  <si>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</si>
  <si>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</si>
  <si>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</si>
  <si>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</si>
  <si>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</si>
  <si>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</si>
  <si>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</si>
  <si>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</si>
  <si>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</si>
  <si>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</si>
  <si>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</si>
  <si>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</si>
  <si>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</si>
  <si>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</si>
  <si>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</si>
  <si>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</si>
  <si>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</si>
  <si>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</si>
  <si>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</si>
  <si>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</si>
  <si>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</si>
  <si>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</si>
  <si>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</si>
  <si>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</si>
  <si>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</si>
  <si>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</si>
  <si>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</si>
  <si>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</si>
  <si>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</si>
  <si>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</si>
  <si>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</si>
  <si>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</si>
  <si>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</si>
  <si>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</si>
  <si>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</si>
  <si>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</si>
  <si>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</si>
  <si>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</si>
  <si>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</si>
  <si>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</si>
  <si>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</si>
  <si>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</si>
  <si>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</si>
  <si>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</si>
  <si>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</si>
  <si>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</si>
  <si>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</si>
  <si>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</si>
  <si>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</si>
  <si>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</si>
  <si>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</si>
  <si>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</si>
  <si>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</si>
  <si>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</si>
  <si>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</si>
  <si>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</si>
  <si>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</si>
  <si>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</si>
  <si>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</si>
  <si>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</si>
  <si>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</si>
  <si>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</si>
  <si>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</si>
  <si>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</si>
  <si>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</si>
  <si>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</si>
  <si>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</si>
  <si>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</si>
  <si>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</si>
  <si>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</si>
  <si>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</si>
  <si>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</si>
  <si>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</si>
  <si>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</si>
  <si>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</si>
  <si>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</si>
  <si>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</si>
  <si>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</si>
  <si>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</si>
  <si>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</si>
  <si>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</si>
  <si>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</si>
  <si>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</si>
  <si>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</si>
  <si>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</si>
  <si>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</si>
  <si>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</si>
  <si>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</si>
  <si>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</si>
  <si>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</si>
  <si>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</si>
  <si>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</si>
  <si>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</si>
  <si>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</si>
  <si>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</si>
  <si>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</si>
  <si>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</si>
  <si>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</si>
  <si>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</si>
  <si>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</si>
  <si>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</si>
  <si>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</si>
  <si>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</si>
  <si>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</si>
  <si>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</si>
  <si>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</si>
  <si>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</si>
  <si>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</si>
  <si>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</si>
  <si>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</si>
  <si>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</si>
  <si>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</si>
  <si>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</si>
  <si>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</si>
  <si>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</si>
  <si>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</si>
  <si>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</si>
  <si>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</si>
  <si>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</si>
  <si>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</si>
  <si>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</si>
  <si>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</si>
  <si>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</si>
  <si>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</si>
  <si>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</si>
  <si>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</si>
  <si>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</si>
  <si>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</si>
  <si>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</si>
  <si>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</si>
  <si>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</si>
  <si>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</si>
  <si>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</si>
  <si>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</si>
  <si>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</si>
  <si>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</si>
  <si>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</si>
  <si>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</si>
  <si>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</si>
  <si>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</si>
  <si>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</si>
  <si>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</si>
  <si>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</si>
  <si>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</si>
  <si>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</si>
  <si>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</si>
  <si>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</si>
  <si>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</si>
  <si>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</si>
  <si>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</si>
  <si>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</si>
  <si>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</si>
  <si>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</si>
  <si>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</si>
  <si>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</si>
  <si>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</si>
  <si>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</si>
  <si>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</si>
  <si>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</si>
  <si>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</si>
  <si>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</si>
  <si>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</si>
  <si>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</si>
  <si>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</si>
  <si>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</si>
  <si>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</si>
  <si>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</si>
  <si>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</si>
  <si>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</si>
  <si>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</si>
  <si>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</si>
  <si>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</si>
  <si>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</si>
  <si>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</si>
  <si>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</si>
  <si>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</si>
  <si>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</si>
  <si>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</si>
  <si>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</si>
  <si>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</si>
  <si>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</si>
  <si>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</si>
  <si>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</si>
  <si>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</si>
  <si>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</si>
  <si>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</si>
  <si>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</si>
  <si>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</si>
  <si>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</si>
  <si>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</si>
  <si>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</si>
  <si>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</si>
  <si>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</si>
  <si>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</si>
  <si>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</si>
  <si>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</si>
  <si>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</si>
  <si>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</si>
  <si>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</si>
  <si>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</si>
  <si>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</si>
  <si>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</si>
  <si>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</si>
  <si>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</si>
  <si>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</si>
  <si>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</si>
  <si>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</si>
  <si>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</si>
  <si>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</si>
  <si>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</si>
  <si>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</si>
  <si>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</si>
  <si>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</si>
  <si>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</si>
  <si>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</si>
  <si>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</si>
  <si>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</si>
  <si>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</si>
  <si>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</si>
  <si>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</si>
  <si>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</si>
  <si>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</si>
  <si>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</si>
  <si>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</si>
  <si>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</si>
  <si>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</si>
  <si>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</si>
  <si>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</si>
  <si>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</si>
  <si>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</si>
  <si>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</si>
  <si>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</si>
  <si>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</si>
  <si>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</si>
  <si>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</si>
  <si>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</si>
  <si>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</si>
  <si>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</si>
  <si>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</si>
  <si>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</si>
  <si>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</si>
  <si>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</si>
  <si>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</si>
  <si>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</si>
  <si>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</si>
  <si>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</si>
  <si>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</si>
  <si>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</si>
  <si>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</si>
  <si>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</si>
  <si>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</si>
  <si>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</si>
  <si>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</si>
  <si>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</si>
  <si>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</si>
  <si>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</si>
  <si>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</si>
  <si>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</si>
  <si>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</si>
  <si>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</si>
  <si>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</si>
  <si>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</si>
  <si>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</si>
  <si>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</si>
  <si>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</si>
  <si>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</si>
  <si>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</si>
  <si>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</si>
  <si>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</si>
  <si>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</si>
  <si>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</si>
  <si>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</si>
  <si>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</si>
  <si>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</si>
  <si>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</si>
  <si>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</si>
  <si>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</si>
  <si>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</si>
  <si>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</si>
  <si>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</si>
  <si>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</si>
  <si>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</si>
  <si>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</si>
  <si>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</si>
  <si>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</si>
  <si>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</si>
  <si>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</si>
  <si>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</si>
  <si>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</si>
  <si>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</si>
  <si>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</si>
  <si>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</si>
  <si>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</si>
  <si>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</si>
  <si>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</si>
  <si>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</si>
  <si>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</si>
  <si>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</si>
  <si>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</si>
  <si>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</si>
  <si>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</si>
  <si>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</si>
  <si>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</si>
  <si>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</si>
  <si>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</si>
  <si>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</si>
  <si>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</si>
  <si>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</si>
  <si>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</si>
  <si>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</si>
  <si>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</si>
  <si>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</si>
  <si>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</si>
  <si>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</si>
  <si>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</si>
  <si>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</si>
  <si>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</si>
  <si>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</si>
  <si>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</si>
  <si>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</si>
  <si>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</si>
  <si>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</si>
  <si>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</si>
  <si>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</si>
  <si>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</si>
  <si>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</si>
  <si>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</si>
  <si>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</si>
  <si>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</si>
  <si>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</si>
  <si>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</si>
  <si>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</si>
  <si>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</si>
  <si>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</si>
  <si>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</si>
  <si>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</si>
  <si>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</si>
  <si>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</si>
  <si>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</si>
  <si>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</si>
  <si>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</si>
  <si>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</si>
  <si>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</si>
  <si>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</si>
  <si>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</si>
  <si>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</si>
  <si>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</si>
  <si>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</si>
  <si>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</si>
  <si>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</si>
  <si>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</si>
  <si>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</si>
  <si>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</si>
  <si>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</si>
  <si>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</si>
  <si>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</si>
  <si>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</si>
  <si>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</si>
  <si>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</si>
  <si>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</si>
  <si>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</si>
  <si>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</si>
  <si>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</si>
  <si>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</si>
  <si>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</si>
  <si>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</si>
  <si>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</si>
  <si>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</si>
  <si>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</si>
  <si>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</si>
  <si>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</si>
  <si>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</si>
  <si>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</si>
  <si>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</si>
  <si>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</si>
  <si>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</si>
  <si>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</si>
  <si>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</si>
  <si>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</si>
  <si>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</si>
  <si>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</si>
  <si>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</si>
  <si>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</si>
  <si>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</si>
  <si>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</si>
  <si>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</si>
  <si>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</si>
  <si>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</si>
  <si>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</si>
  <si>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</si>
  <si>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</si>
  <si>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</si>
  <si>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</si>
  <si>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</si>
  <si>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</si>
  <si>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</si>
  <si>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</si>
  <si>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</si>
  <si>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</si>
  <si>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</si>
  <si>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</si>
  <si>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</si>
  <si>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</si>
  <si>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</si>
  <si>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</si>
  <si>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</si>
  <si>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</si>
  <si>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</si>
  <si>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</si>
  <si>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</si>
  <si>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</si>
  <si>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</si>
  <si>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</si>
  <si>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</si>
  <si>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</si>
  <si>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</si>
  <si>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</si>
  <si>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</si>
  <si>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</si>
  <si>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</si>
  <si>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</si>
  <si>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</si>
  <si>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</si>
  <si>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</si>
  <si>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</si>
  <si>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</si>
  <si>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</si>
  <si>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</si>
  <si>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</si>
  <si>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</si>
  <si>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</si>
  <si>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</si>
  <si>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</si>
  <si>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</si>
  <si>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</si>
  <si>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</si>
  <si>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</si>
  <si>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</si>
  <si>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</si>
  <si>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</si>
  <si>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</si>
  <si>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</si>
  <si>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</si>
  <si>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</si>
  <si>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</si>
  <si>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</si>
  <si>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</si>
  <si>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</si>
  <si>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</si>
  <si>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</si>
  <si>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</si>
  <si>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</si>
  <si>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</si>
  <si>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</si>
  <si>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</si>
  <si>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</si>
  <si>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</si>
  <si>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</si>
  <si>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</si>
  <si>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</si>
  <si>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</si>
  <si>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</si>
  <si>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</si>
  <si>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</si>
  <si>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</si>
  <si>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</si>
  <si>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</si>
  <si>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</si>
  <si>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</si>
  <si>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</si>
  <si>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</si>
  <si>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</si>
  <si>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</si>
  <si>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</si>
  <si>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</si>
  <si>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</si>
  <si>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</si>
  <si>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</si>
  <si>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</si>
  <si>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</si>
  <si>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</si>
  <si>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</si>
  <si>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</si>
  <si>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</si>
  <si>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</si>
  <si>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</si>
  <si>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</si>
  <si>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</si>
  <si>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</si>
  <si>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</si>
  <si>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</si>
  <si>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</si>
  <si>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</si>
  <si>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</si>
  <si>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</si>
  <si>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</si>
  <si>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</si>
  <si>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</si>
  <si>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</si>
  <si>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</si>
  <si>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</si>
  <si>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</si>
  <si>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</si>
  <si>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</si>
  <si>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</si>
  <si>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</si>
  <si>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</si>
  <si>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</si>
  <si>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</si>
  <si>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</si>
  <si>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</si>
  <si>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</si>
  <si>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</si>
  <si>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</si>
  <si>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</si>
  <si>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</si>
  <si>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</si>
  <si>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</si>
  <si>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</si>
  <si>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</si>
  <si>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</si>
  <si>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</si>
  <si>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</si>
  <si>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</si>
  <si>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</si>
  <si>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</si>
  <si>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</si>
  <si>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</si>
  <si>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</si>
  <si>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</si>
  <si>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</si>
  <si>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</si>
  <si>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</si>
  <si>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</si>
  <si>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</si>
  <si>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</si>
  <si>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</si>
  <si>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</si>
  <si>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</si>
  <si>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</si>
  <si>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</si>
  <si>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</si>
  <si>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</si>
  <si>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</si>
  <si>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</si>
  <si>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</si>
  <si>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</si>
  <si>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</si>
  <si>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</si>
  <si>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</si>
  <si>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</si>
  <si>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</si>
  <si>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</si>
  <si>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</si>
  <si>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</si>
  <si>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</si>
  <si>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</si>
  <si>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</si>
  <si>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</si>
  <si>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</si>
  <si>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</si>
  <si>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</si>
  <si>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</si>
  <si>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</si>
  <si>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</si>
  <si>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</si>
  <si>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</si>
  <si>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</si>
  <si>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</si>
  <si>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</si>
  <si>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</si>
  <si>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</si>
  <si>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</si>
  <si>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</si>
  <si>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</si>
  <si>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</si>
  <si>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</si>
  <si>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</si>
  <si>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</si>
  <si>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</si>
  <si>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</si>
  <si>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</si>
  <si>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</si>
  <si>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</si>
  <si>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</si>
  <si>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</si>
  <si>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</si>
  <si>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</si>
  <si>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</si>
  <si>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</si>
  <si>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</si>
  <si>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</si>
  <si>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</si>
  <si>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</si>
  <si>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</si>
  <si>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</si>
  <si>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</si>
  <si>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</si>
  <si>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</si>
  <si>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</si>
  <si>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</si>
  <si>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</si>
  <si>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</si>
  <si>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</si>
  <si>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</si>
  <si>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</si>
  <si>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</si>
  <si>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</si>
  <si>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</si>
  <si>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</si>
  <si>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</si>
  <si>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</si>
  <si>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</si>
  <si>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</si>
  <si>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</si>
  <si>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</si>
  <si>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</si>
  <si>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</si>
  <si>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</si>
  <si>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</si>
  <si>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</si>
  <si>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</si>
  <si>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</si>
  <si>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</si>
  <si>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</si>
  <si>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</si>
  <si>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</si>
  <si>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</si>
  <si>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</si>
  <si>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</si>
  <si>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</si>
  <si>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</si>
  <si>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</si>
  <si>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</si>
  <si>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</si>
  <si>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</si>
  <si>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</si>
  <si>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</si>
  <si>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</si>
  <si>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</si>
  <si>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</si>
  <si>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</si>
  <si>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</si>
  <si>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</si>
  <si>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</si>
  <si>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</si>
  <si>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</si>
  <si>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</si>
  <si>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</si>
  <si>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</si>
  <si>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</si>
  <si>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</si>
  <si>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</si>
  <si>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</si>
  <si>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</si>
  <si>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</si>
  <si>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</si>
  <si>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</si>
  <si>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</si>
  <si>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</si>
  <si>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</si>
  <si>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</si>
  <si>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</si>
  <si>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</si>
  <si>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</si>
  <si>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</si>
  <si>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</si>
  <si>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</si>
  <si>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</si>
  <si>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</si>
  <si>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</si>
  <si>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</si>
  <si>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</si>
  <si>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</si>
  <si>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</si>
  <si>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</si>
  <si>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</si>
  <si>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</si>
  <si>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</si>
  <si>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</si>
  <si>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</si>
  <si>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</si>
  <si>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</si>
  <si>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</si>
  <si>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</si>
  <si>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</si>
  <si>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</si>
  <si>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</si>
  <si>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</si>
  <si>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</si>
  <si>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</si>
  <si>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</si>
  <si>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</si>
  <si>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</si>
  <si>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</si>
  <si>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</si>
  <si>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</si>
  <si>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</si>
  <si>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</si>
  <si>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</si>
  <si>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</si>
  <si>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</si>
  <si>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</si>
  <si>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</si>
  <si>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</si>
  <si>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</si>
  <si>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</si>
  <si>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</si>
  <si>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</si>
  <si>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</si>
  <si>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</si>
  <si>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</si>
  <si>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</si>
  <si>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</si>
  <si>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</si>
  <si>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</si>
  <si>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</si>
  <si>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</si>
  <si>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</si>
  <si>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</si>
  <si>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</si>
  <si>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</si>
  <si>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</si>
  <si>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</si>
  <si>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</si>
  <si>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</si>
  <si>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</si>
  <si>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</si>
  <si>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</si>
  <si>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</si>
  <si>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</si>
  <si>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</si>
  <si>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</si>
  <si>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</si>
  <si>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</si>
  <si>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</si>
  <si>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</si>
  <si>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</si>
  <si>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</si>
  <si>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</si>
  <si>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</si>
  <si>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</si>
  <si>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</si>
  <si>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</si>
  <si>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</si>
  <si>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</si>
  <si>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</si>
  <si>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</si>
  <si>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</si>
  <si>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</si>
  <si>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</si>
  <si>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</si>
  <si>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</si>
  <si>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</si>
  <si>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</si>
  <si>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</si>
  <si>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</si>
  <si>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</si>
  <si>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</si>
  <si>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</si>
  <si>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</si>
  <si>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</si>
  <si>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</si>
  <si>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</si>
  <si>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</si>
  <si>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</si>
  <si>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</si>
  <si>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</si>
  <si>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</si>
  <si>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</si>
  <si>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</si>
  <si>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</si>
  <si>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</si>
  <si>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</si>
  <si>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</si>
  <si>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</si>
  <si>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</si>
  <si>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</si>
  <si>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</si>
  <si>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</si>
  <si>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</si>
  <si>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</si>
  <si>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</si>
  <si>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</si>
  <si>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</si>
  <si>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</si>
  <si>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</si>
  <si>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</si>
  <si>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</si>
  <si>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</si>
  <si>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</si>
  <si>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</si>
  <si>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</si>
  <si>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</si>
  <si>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</si>
  <si>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</si>
  <si>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</si>
  <si>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</si>
  <si>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</si>
  <si>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</si>
  <si>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</si>
  <si>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</si>
  <si>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</si>
  <si>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</si>
  <si>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</si>
  <si>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</si>
  <si>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</si>
  <si>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</si>
  <si>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</si>
  <si>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</si>
  <si>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</si>
  <si>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</si>
  <si>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</si>
  <si>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</si>
  <si>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</si>
  <si>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</si>
  <si>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</si>
  <si>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</si>
  <si>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</si>
  <si>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</si>
  <si>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</si>
  <si>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</si>
  <si>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</si>
  <si>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</si>
  <si>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</si>
  <si>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</si>
  <si>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</si>
  <si>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</si>
  <si>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</si>
  <si>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</si>
  <si>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</si>
  <si>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</si>
  <si>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</si>
  <si>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</si>
  <si>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</si>
  <si>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</si>
  <si>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</si>
  <si>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</si>
  <si>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</si>
  <si>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</si>
  <si>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</si>
  <si>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</si>
  <si>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</si>
  <si>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</si>
  <si>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</si>
  <si>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</si>
  <si>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</si>
  <si>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</si>
  <si>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</si>
  <si>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</si>
  <si>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</si>
  <si>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</si>
  <si>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</si>
  <si>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</si>
  <si>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</si>
  <si>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</si>
  <si>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</si>
  <si>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</si>
  <si>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</si>
  <si>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</si>
  <si>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</si>
  <si>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</si>
  <si>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</si>
  <si>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</si>
  <si>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</si>
  <si>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</si>
  <si>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</si>
  <si>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</si>
  <si>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</si>
  <si>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</si>
  <si>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</si>
  <si>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</si>
  <si>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</si>
  <si>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</si>
  <si>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</si>
  <si>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</si>
  <si>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</si>
  <si>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</si>
  <si>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</si>
  <si>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</si>
  <si>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</si>
  <si>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</si>
  <si>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</si>
  <si>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</si>
  <si>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</si>
  <si>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</si>
  <si>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</si>
  <si>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</si>
  <si>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</si>
  <si>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</si>
  <si>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</si>
  <si>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</si>
  <si>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</si>
  <si>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</si>
  <si>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</si>
  <si>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</si>
  <si>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</si>
  <si>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</si>
  <si>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</si>
  <si>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</si>
  <si>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</si>
  <si>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</si>
  <si>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</si>
  <si>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</si>
  <si>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</si>
  <si>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</si>
  <si>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</si>
  <si>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</si>
  <si>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</si>
  <si>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</si>
  <si>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</si>
  <si>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</si>
  <si>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</si>
  <si>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</si>
  <si>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</si>
  <si>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</si>
  <si>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</si>
  <si>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</si>
  <si>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</si>
  <si>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</si>
  <si>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</si>
  <si>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</si>
  <si>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</si>
  <si>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</si>
  <si>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</si>
  <si>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</si>
  <si>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</si>
  <si>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</si>
  <si>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</si>
  <si>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</si>
  <si>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</si>
  <si>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</si>
  <si>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</si>
  <si>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</si>
  <si>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</si>
  <si>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</si>
  <si>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</si>
  <si>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</si>
  <si>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</si>
  <si>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</si>
  <si>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</si>
  <si>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</si>
  <si>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</si>
  <si>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</si>
  <si>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</si>
  <si>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</si>
  <si>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</si>
  <si>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</si>
  <si>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</si>
  <si>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</si>
  <si>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</si>
  <si>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</si>
  <si>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</si>
  <si>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</si>
  <si>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</si>
  <si>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</si>
  <si>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</si>
  <si>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</si>
  <si>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</si>
  <si>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</si>
  <si>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</si>
  <si>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</si>
  <si>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</si>
  <si>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</si>
  <si>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</si>
  <si>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</si>
  <si>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</si>
  <si>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</si>
  <si>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</si>
  <si>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</si>
  <si>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</si>
  <si>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</si>
  <si>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</si>
  <si>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</si>
  <si>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</si>
  <si>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</si>
  <si>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</si>
  <si>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</si>
  <si>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</si>
  <si>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</si>
  <si>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</si>
  <si>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</si>
  <si>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</si>
  <si>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</si>
  <si>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</si>
  <si>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</si>
  <si>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</si>
  <si>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</si>
  <si>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</si>
  <si>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</si>
  <si>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</si>
  <si>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</si>
  <si>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</si>
  <si>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</si>
  <si>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</si>
  <si>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</si>
  <si>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</si>
  <si>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</si>
  <si>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</si>
  <si>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</si>
  <si>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</si>
  <si>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</si>
  <si>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</si>
  <si>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</si>
  <si>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</si>
  <si>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</si>
  <si>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</si>
  <si>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</si>
  <si>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</si>
  <si>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</si>
  <si>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</si>
  <si>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</si>
  <si>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</si>
  <si>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</si>
  <si>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</si>
  <si>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</si>
  <si>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</si>
  <si>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</si>
  <si>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</si>
  <si>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</si>
  <si>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</si>
  <si>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</si>
  <si>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</si>
  <si>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</si>
  <si>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</si>
  <si>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</si>
  <si>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</si>
  <si>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</si>
  <si>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</si>
  <si>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</si>
  <si>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</si>
  <si>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10 ROLOS</t>
  </si>
  <si>
    <t>P.203</t>
  </si>
  <si>
    <t>PONTE TRELIÇADA 1 _ 73243-A</t>
  </si>
  <si>
    <t>PONTE TRELIÇADA 2 (INTERMEDIÁRIA) _73244-A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</si>
</sst>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4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43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7.9078999999999979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10.046400000000002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34.033299999999997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17.277200000000001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63.565199999999997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16.941300000000002</c:v>
                </c:pt>
                <c:pt idx="1">
                  <c:v>0</c:v>
                </c:pt>
                <c:pt idx="2">
                  <c:v>3.3136999999999999</c:v>
                </c:pt>
                <c:pt idx="3">
                  <c:v>12.960799999999999</c:v>
                </c:pt>
                <c:pt idx="4">
                  <c:v>11.9184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77.304200000000009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7.8437999999999972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6.5799999999999415E-2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19.787699999999994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71" totalsRowShown="0" headerRowDxfId="142" tableBorderDxfId="141">
  <autoFilter ref="A1:AW871" xr:uid="{00000000-000C-0000-FFFF-FFFF00000000}">
    <filterColumn colId="9">
      <filters>
        <filter val="05-CV-0001"/>
      </filters>
    </filterColumn>
    <filterColumn colId="10">
      <filters>
        <filter val="BASES ROLETES"/>
      </filters>
    </filterColumn>
    <filterColumn colId="11">
      <filters>
        <filter val="P-198"/>
      </filters>
    </filterColumn>
  </autoFilter>
  <tableColumns count="49">
    <tableColumn id="1" xr3:uid="{00000000-0010-0000-0000-000001000000}" name="DESENHO_x000a_MDE" dataDxfId="140"/>
    <tableColumn id="43" xr3:uid="{56981E1B-CD3E-434D-AB02-C5F83A6F3E43}" name="DESENHO_x000a_CLIENTE" dataDxfId="139"/>
    <tableColumn id="2" xr3:uid="{00000000-0010-0000-0000-000002000000}" name="QTE" dataDxfId="138"/>
    <tableColumn id="3" xr3:uid="{00000000-0010-0000-0000-000003000000}" name="DESCRIÇÃO" dataDxfId="137"/>
    <tableColumn id="41" xr3:uid="{00000000-0010-0000-0000-000029000000}" name="COD.MDE" dataDxfId="136"/>
    <tableColumn id="40" xr3:uid="{00000000-0010-0000-0000-000028000000}" name="REMESSA" dataDxfId="135"/>
    <tableColumn id="4" xr3:uid="{00000000-0010-0000-0000-000004000000}" name="PESO UNI" dataDxfId="134"/>
    <tableColumn id="5" xr3:uid="{00000000-0010-0000-0000-000005000000}" name="PESO TOTAL" dataDxfId="133"/>
    <tableColumn id="6" xr3:uid="{00000000-0010-0000-0000-000006000000}" name="Revisão" dataDxfId="132"/>
    <tableColumn id="7" xr3:uid="{00000000-0010-0000-0000-000007000000}" name="TAG" dataDxfId="131"/>
    <tableColumn id="38" xr3:uid="{00000000-0010-0000-0000-000026000000}" name="PRODUTO" dataDxfId="130"/>
    <tableColumn id="8" xr3:uid="{00000000-0010-0000-0000-000008000000}" name="PEDIDO" dataDxfId="129"/>
    <tableColumn id="9" xr3:uid="{00000000-0010-0000-0000-000009000000}" name="Engenharia" dataDxfId="128"/>
    <tableColumn id="10" xr3:uid="{00000000-0010-0000-0000-00000A000000}" name="FORNECEDOR" dataDxfId="127"/>
    <tableColumn id="11" xr3:uid="{00000000-0010-0000-0000-00000B000000}" name="QTDE/ Fabricação" dataDxfId="126"/>
    <tableColumn id="12" xr3:uid="{00000000-0010-0000-0000-00000C000000}" name="DATA/Fabricação" dataDxfId="125"/>
    <tableColumn id="13" xr3:uid="{00000000-0010-0000-0000-00000D000000}" name="SALDO PENDENTE/Fabricação" dataDxfId="124"/>
    <tableColumn id="14" xr3:uid="{00000000-0010-0000-0000-00000E000000}" name="EVOLUÇÃO PRETO / Fabricação_x000a_(kg)" dataDxfId="123"/>
    <tableColumn id="15" xr3:uid="{00000000-0010-0000-0000-00000F000000}" name="PRONTO ACABADO kg" dataDxfId="122">
      <calculatedColumnFormula>IFERROR(H2*AG2,"")</calculatedColumnFormula>
    </tableColumn>
    <tableColumn id="16" xr3:uid="{00000000-0010-0000-0000-000010000000}" name="Pendencia  / Fabricação_x000a_EM KG" dataDxfId="121"/>
    <tableColumn id="17" xr3:uid="{00000000-0010-0000-0000-000011000000}" name="QIANTIDADE EXPEDIDA" dataDxfId="120"/>
    <tableColumn id="18" xr3:uid="{00000000-0010-0000-0000-000012000000}" name="ROMANEIO " dataDxfId="119"/>
    <tableColumn id="19" xr3:uid="{00000000-0010-0000-0000-000013000000}" name="DATA EXPEDIÇÃO" dataDxfId="118"/>
    <tableColumn id="20" xr3:uid="{00000000-0010-0000-0000-000014000000}" name="Peso Expedido" dataDxfId="117"/>
    <tableColumn id="21" xr3:uid="{00000000-0010-0000-0000-000015000000}" name="QUANTIDADE PENDENTE/Expedição" dataDxfId="116"/>
    <tableColumn id="22" xr3:uid="{00000000-0010-0000-0000-000016000000}" name="PESO PENDENTE/Expedição" dataDxfId="115"/>
    <tableColumn id="23" xr3:uid="{00000000-0010-0000-0000-000017000000}" name="MATÉRIA PRIMA" dataDxfId="114"/>
    <tableColumn id="24" xr3:uid="{00000000-0010-0000-0000-000018000000}" name="RELATORIO" dataDxfId="113"/>
    <tableColumn id="25" xr3:uid="{00000000-0010-0000-0000-000019000000}" name="PREPARAÇÃO " dataDxfId="112"/>
    <tableColumn id="26" xr3:uid="{00000000-0010-0000-0000-00001A000000}" name="CALDEIRARIA" dataDxfId="111"/>
    <tableColumn id="27" xr3:uid="{00000000-0010-0000-0000-00001B000000}" name="SOLDA" dataDxfId="110"/>
    <tableColumn id="28" xr3:uid="{00000000-0010-0000-0000-00001C000000}" name="ACABAMENTO" dataDxfId="109"/>
    <tableColumn id="29" xr3:uid="{00000000-0010-0000-0000-00001D000000}" name="PRONTO ACABADO" dataDxfId="108"/>
    <tableColumn id="30" xr3:uid="{00000000-0010-0000-0000-00001E000000}" name="EXPEDIÇÃO " dataDxfId="107"/>
    <tableColumn id="31" xr3:uid="{00000000-0010-0000-0000-00001F000000}" name="FINALIZADO " dataDxfId="106"/>
    <tableColumn id="32" xr3:uid="{00000000-0010-0000-0000-000020000000}" name="Coluna1" dataDxfId="105"/>
    <tableColumn id="33" xr3:uid="{00000000-0010-0000-0000-000021000000}" name="Coluna2" dataDxfId="104"/>
    <tableColumn id="34" xr3:uid="{00000000-0010-0000-0000-000022000000}" name="Coluna3" dataDxfId="103"/>
    <tableColumn id="35" xr3:uid="{00000000-0010-0000-0000-000023000000}" name="Coluna4" dataDxfId="102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01"/>
    <tableColumn id="42" xr3:uid="{44772FB5-94B9-4683-9D51-42A525419432}" name="Colunas7" dataDxfId="100"/>
    <tableColumn id="44" xr3:uid="{7DBCA215-A831-41EC-8668-4217050D7CEF}" name="Coluna5" dataDxfId="99"/>
    <tableColumn id="52" xr3:uid="{0F1E3E30-ACD2-41A7-9FEB-CFC4141C720F}" name="PRONTO NO PRETO" dataDxfId="98"/>
    <tableColumn id="53" xr3:uid="{7B42991E-C57D-449B-9CA4-FF51ED3B7EE1}" name="PRONTO ACABADO3" dataDxfId="97"/>
    <tableColumn id="54" xr3:uid="{B185D57F-2904-41B4-A913-414AD30553DC}" name="PESO EXPEDIDO2" dataDxfId="96"/>
    <tableColumn id="55" xr3:uid="{216FC5C0-1E81-4ACF-B1FE-D38AAA1F26E6}" name="PRONTO ACABADO2" dataDxfId="95"/>
    <tableColumn id="57" xr3:uid="{58807113-78D0-4422-B88A-8E66792B9681}" name="Coluna7" dataDxfId="94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2" totalsRowShown="0" headerRowDxfId="93" headerRowBorderDxfId="92" tableBorderDxfId="91" totalsRowBorderDxfId="90">
  <autoFilter ref="A1:F22" xr:uid="{9E04BDB3-7991-400D-A075-6EF4E207F167}"/>
  <tableColumns count="6">
    <tableColumn id="1" xr3:uid="{0986BF72-EBA9-4CAA-A22C-20021A2F0193}" name="PEDIDO" dataDxfId="89"/>
    <tableColumn id="2" xr3:uid="{1E29E510-3230-4D4A-9101-BF1603DA1959}" name="EQUIPAMENTO" dataDxfId="88"/>
    <tableColumn id="3" xr3:uid="{27EA8246-98FE-4DF0-AB4F-2563340E3A33}" name="DATA PREVISTA " dataDxfId="87"/>
    <tableColumn id="4" xr3:uid="{178705E0-20E1-4EA8-BD6A-04EDA09B960F}" name="DATA REPROGRAMADA" dataDxfId="86"/>
    <tableColumn id="5" xr3:uid="{D69E8AE6-FCF7-4D70-8443-DFF41092DBA5}" name="Observação" dataDxfId="85"/>
    <tableColumn id="6" xr3:uid="{7ED96CF2-6F65-4A02-A0B9-FFDE23E894EB}" name="CLIENTE" dataDxfId="8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83">
  <autoFilter ref="D3:R395" xr:uid="{D635AFD0-01A4-4F4C-B4BB-2C0A84AFA373}"/>
  <tableColumns count="15">
    <tableColumn id="1" xr3:uid="{71019319-E348-41C4-90A8-BD800AFA385A}" name="TAG" dataDxfId="82"/>
    <tableColumn id="2" xr3:uid="{6205B1F5-4B96-401E-A8F0-D0B582A87E91}" name="PEDIDO" dataDxfId="81">
      <calculatedColumnFormula>VLOOKUP(Tabela2[[#This Row],[TAG]],MICRO!J:L,3,0)</calculatedColumnFormula>
    </tableColumn>
    <tableColumn id="3" xr3:uid="{EBC41BBB-459B-4DB5-8152-2C7C2C7ADFAA}" name="FORNECEDOR" dataDxfId="80" dataCellStyle="Normal 2"/>
    <tableColumn id="4" xr3:uid="{EE719B42-3B82-4AC6-AB4D-66A5AF76AAFC}" name="RECEBIDO ENGENHARIA (kg)" dataDxfId="79">
      <calculatedColumnFormula>SUMIF(MICRO!AP:AP,O:O,MICRO!H:H)</calculatedColumnFormula>
    </tableColumn>
    <tableColumn id="5" xr3:uid="{F8EF71F0-2467-40E6-8596-0C50AE8B2E56}" name="EM AVANÇO NO PRETO (kg)" dataDxfId="78">
      <calculatedColumnFormula>SUMIF(MICRO!AP:AP,O:O,MICRO!R:R)</calculatedColumnFormula>
    </tableColumn>
    <tableColumn id="6" xr3:uid="{70FA8036-1726-409E-865E-BBD68DD0CF2B}" name="Pendencia  / Fabricação_x000a_EM KG _x000a_(Kg)" dataDxfId="77">
      <calculatedColumnFormula>SUMIF(MICRO!AP:AP,O:O,MICRO!T:T)</calculatedColumnFormula>
    </tableColumn>
    <tableColumn id="7" xr3:uid="{2EDBF5C8-B6A0-4234-9B37-F4D245CBE335}" name="EVOLUÇÃO %" dataDxfId="76">
      <calculatedColumnFormula>IF(G4 = 0,0,H4/G4)</calculatedColumnFormula>
    </tableColumn>
    <tableColumn id="8" xr3:uid="{981D372E-5C81-43AA-82CF-C526D0CD7BC5}" name="PESO EXPEDIDO" dataDxfId="75">
      <calculatedColumnFormula>SUMIF(MICRO!AP:AP,O:O,MICRO!X:X)</calculatedColumnFormula>
    </tableColumn>
    <tableColumn id="9" xr3:uid="{9581E1B5-4976-4A66-B050-5EDFF64499FF}" name="% EXPEDIDO" dataDxfId="74">
      <calculatedColumnFormula>IF(G4&lt;&gt;0,SUM(K4/G4*1),"0%")</calculatedColumnFormula>
    </tableColumn>
    <tableColumn id="10" xr3:uid="{5A0DEF47-FBD5-46D6-A019-DB5E3CF46E5B}" name="PESO PENDENTE4" dataDxfId="73">
      <calculatedColumnFormula>G4-K4</calculatedColumnFormula>
    </tableColumn>
    <tableColumn id="11" xr3:uid="{AD13F8E0-0652-4176-B922-E74BEC175E7A}" name="Coluna1" dataDxfId="72">
      <calculatedColumnFormula>E4&amp;F4</calculatedColumnFormula>
    </tableColumn>
    <tableColumn id="12" xr3:uid="{9AB5E2D8-1AD6-4B63-A9ED-66372E94A48F}" name="Coluna2" dataDxfId="71">
      <calculatedColumnFormula>D4&amp;E4&amp;F4</calculatedColumnFormula>
    </tableColumn>
    <tableColumn id="13" xr3:uid="{ED15B1A8-5672-4E4D-9246-3BC797332C64}" name="PRONTO NO PRETO" dataDxfId="70">
      <calculatedColumnFormula>SUMIF(MICRO!AP:AP,O4,MICRO!AS:AS)</calculatedColumnFormula>
    </tableColumn>
    <tableColumn id="14" xr3:uid="{986427E9-0E8F-46D1-987F-01DBA908B397}" name="PRONTO ACABADO" dataDxfId="69">
      <calculatedColumnFormula>SUMIF(MICRO!AP:AP,O4,MICRO!AT:AT)</calculatedColumnFormula>
    </tableColumn>
    <tableColumn id="15" xr3:uid="{4361E9F4-014E-4677-9D4A-8DBAE707BA31}" name="PESO EXPEDIDO2" dataDxfId="68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2" t="s">
        <v>326</v>
      </c>
      <c r="B1" s="234" t="s">
        <v>891</v>
      </c>
      <c r="C1" s="235"/>
      <c r="D1" s="235"/>
      <c r="E1" s="235"/>
      <c r="F1" s="235"/>
      <c r="G1" s="236"/>
      <c r="H1" s="229" t="s">
        <v>331</v>
      </c>
      <c r="I1" s="230"/>
      <c r="J1" s="230"/>
      <c r="K1" s="231"/>
    </row>
    <row r="2" spans="1:11" x14ac:dyDescent="0.25">
      <c r="A2" s="233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6"/>
      <c r="B5" s="227"/>
      <c r="C5" s="227"/>
      <c r="D5" s="227"/>
      <c r="E5" s="227"/>
      <c r="F5" s="227"/>
      <c r="G5" s="227"/>
      <c r="H5" s="227"/>
      <c r="I5" s="227"/>
      <c r="J5" s="227"/>
      <c r="K5" s="228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71"/>
  <sheetViews>
    <sheetView showGridLines="0" tabSelected="1" topLeftCell="D1" zoomScale="77" zoomScaleNormal="77" workbookViewId="0">
      <pane ySplit="1" topLeftCell="A64" activePane="bottomLeft" state="frozen"/>
      <selection pane="bottomLeft" activeCell="H877" sqref="H876:H877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28.8</v>
      </c>
      <c r="T53" s="19">
        <f t="shared" si="16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7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0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28.8</v>
      </c>
      <c r="AV53" s="37">
        <f t="shared" si="13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520</v>
      </c>
      <c r="T54" s="19">
        <f t="shared" si="16"/>
        <v>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520</v>
      </c>
      <c r="AU54" s="37">
        <f t="shared" si="12"/>
        <v>0</v>
      </c>
      <c r="AV54" s="37">
        <f t="shared" si="13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16.8</v>
      </c>
      <c r="S55" s="18">
        <f t="shared" si="15"/>
        <v>16.8</v>
      </c>
      <c r="T55" s="19">
        <f t="shared" si="16"/>
        <v>0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16.8</v>
      </c>
      <c r="AU55" s="37">
        <f t="shared" si="12"/>
        <v>0</v>
      </c>
      <c r="AV55" s="37">
        <f t="shared" si="13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4"/>
        <v>83.2</v>
      </c>
      <c r="S67" s="18">
        <f t="shared" si="15"/>
        <v>83.2</v>
      </c>
      <c r="T67" s="19">
        <f t="shared" si="16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7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83.2</v>
      </c>
      <c r="AV67" s="37">
        <f t="shared" si="13"/>
        <v>83.2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6" si="22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122.99999999999999</v>
      </c>
      <c r="AV80" s="37">
        <f t="shared" si="13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2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10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2"/>
        <v>396.3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2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10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2"/>
        <v>290.60000000000002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2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10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2"/>
        <v>290.60000000000002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2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10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2"/>
        <v>295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144</v>
      </c>
      <c r="S86" s="18">
        <f t="shared" si="20"/>
        <v>144</v>
      </c>
      <c r="T86" s="19">
        <f t="shared" si="21"/>
        <v>0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17">
        <v>1</v>
      </c>
      <c r="AE86" s="17">
        <v>1</v>
      </c>
      <c r="AF86" s="17">
        <v>1</v>
      </c>
      <c r="AG86" s="17">
        <v>1</v>
      </c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144</v>
      </c>
      <c r="AU86" s="37">
        <f t="shared" si="12"/>
        <v>0</v>
      </c>
      <c r="AV86" s="37">
        <f t="shared" si="13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2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10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2"/>
        <v>29.6</v>
      </c>
      <c r="AV87" s="37">
        <f t="shared" si="13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2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10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2"/>
        <v>252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154.6</v>
      </c>
      <c r="S89" s="18">
        <f t="shared" si="20"/>
        <v>154.6</v>
      </c>
      <c r="T89" s="19">
        <f t="shared" si="21"/>
        <v>0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154.6</v>
      </c>
      <c r="AU89" s="37">
        <f t="shared" si="12"/>
        <v>0</v>
      </c>
      <c r="AV89" s="37">
        <f t="shared" si="13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2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10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2"/>
        <v>291.2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2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3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2"/>
        <v>26.3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33</v>
      </c>
      <c r="S128" s="18">
        <f t="shared" si="29"/>
        <v>33</v>
      </c>
      <c r="T128" s="19">
        <f t="shared" si="27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4"/>
        <v>0</v>
      </c>
      <c r="AV128" s="37">
        <f t="shared" si="25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453.9</v>
      </c>
      <c r="S129" s="18">
        <f t="shared" si="29"/>
        <v>453.9</v>
      </c>
      <c r="T129" s="19">
        <f t="shared" si="27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28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453.9</v>
      </c>
      <c r="AV129" s="37">
        <f t="shared" si="25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22.200000000000003</v>
      </c>
      <c r="S130" s="18">
        <f t="shared" si="29"/>
        <v>22.200000000000003</v>
      </c>
      <c r="T130" s="19">
        <f t="shared" si="27"/>
        <v>0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22.200000000000003</v>
      </c>
      <c r="AU130" s="37">
        <f t="shared" si="24"/>
        <v>0</v>
      </c>
      <c r="AV130" s="37">
        <f t="shared" si="25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470.6</v>
      </c>
      <c r="S131" s="18">
        <f t="shared" si="29"/>
        <v>470.6</v>
      </c>
      <c r="T131" s="19">
        <f t="shared" si="27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28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23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470.6</v>
      </c>
      <c r="AV131" s="37">
        <f t="shared" si="25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240.4</v>
      </c>
      <c r="S151" s="18">
        <f t="shared" si="29"/>
        <v>240.4</v>
      </c>
      <c r="T151" s="19">
        <f t="shared" si="32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28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23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240.4</v>
      </c>
      <c r="AV151" s="37">
        <f t="shared" si="25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9.1199999999999992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91.2</v>
      </c>
      <c r="S443" s="18">
        <f t="shared" si="74"/>
        <v>91.2</v>
      </c>
      <c r="T443" s="19">
        <f t="shared" si="82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83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6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91.2</v>
      </c>
      <c r="AV443" s="37">
        <f t="shared" si="86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194.93999999999997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36.479999999999997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158.83999999999997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24.604999999999997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2.4699999999999998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22.799999999999997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748.2</v>
      </c>
      <c r="S450" s="18">
        <f t="shared" ref="S450:S458" si="87">IFERROR(H450*AG450,"")</f>
        <v>748.2</v>
      </c>
      <c r="T450" s="19">
        <f t="shared" ref="T450:T458" si="88">IFERROR(S450-H450,"")</f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ref="Y450:Y458" si="89">U450-C450</f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6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3651</v>
      </c>
      <c r="S451" s="18">
        <f t="shared" si="87"/>
        <v>3651</v>
      </c>
      <c r="T451" s="19">
        <f t="shared" si="88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89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6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87"/>
        <v>133.70000000000002</v>
      </c>
      <c r="T454" s="19">
        <f t="shared" si="88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9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87"/>
        <v>109.19999999999999</v>
      </c>
      <c r="T455" s="19">
        <f t="shared" si="88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87"/>
        <v>48</v>
      </c>
      <c r="T456" s="19">
        <f t="shared" si="88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87"/>
        <v>70</v>
      </c>
      <c r="T457" s="19">
        <f t="shared" si="88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87"/>
        <v>138</v>
      </c>
      <c r="T458" s="19">
        <f t="shared" si="88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700.82925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>
        <v>1</v>
      </c>
      <c r="AB604" s="33"/>
      <c r="AC604" s="33">
        <v>1</v>
      </c>
      <c r="AD604" s="33">
        <v>0.7</v>
      </c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501.125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19.575000000000003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>
        <v>0.2</v>
      </c>
      <c r="AB765" s="33"/>
      <c r="AC765" s="33">
        <v>0.2</v>
      </c>
      <c r="AD765" s="33">
        <v>0.2</v>
      </c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6.6990000000000016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>
        <v>0.2</v>
      </c>
      <c r="AB766" s="33"/>
      <c r="AC766" s="33">
        <v>0.2</v>
      </c>
      <c r="AD766" s="33">
        <v>0.2</v>
      </c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194.4</v>
      </c>
      <c r="S767" s="18">
        <f t="shared" si="130"/>
        <v>19.440000000000001</v>
      </c>
      <c r="T767" s="19">
        <f t="shared" si="131"/>
        <v>-174.96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0.1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1.4500000000000002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>
        <v>0.2</v>
      </c>
      <c r="AB768" s="33"/>
      <c r="AC768" s="33">
        <v>0.2</v>
      </c>
      <c r="AD768" s="33">
        <v>0.2</v>
      </c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13.398000000000003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>
        <v>0.2</v>
      </c>
      <c r="AB769" s="33"/>
      <c r="AC769" s="33">
        <v>0.2</v>
      </c>
      <c r="AD769" s="33">
        <v>0.2</v>
      </c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288</v>
      </c>
      <c r="S770" s="18">
        <f t="shared" ref="S770:S780" si="134">IFERROR(H770*AG770,"")</f>
        <v>288</v>
      </c>
      <c r="T770" s="19">
        <f t="shared" ref="T770:T780" si="135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2587.2660000000001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5029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5029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5029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5029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5029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5029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5029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5029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5029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5029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5029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5029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5029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5029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5029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5029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5029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5029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5029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5029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5029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5029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5029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5029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5029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5029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5029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5029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5029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5029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5029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5029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5029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5029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5029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5029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5029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748.5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287.7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-1</v>
      </c>
      <c r="Z826" s="20">
        <f>Tabela1[[#This Row],[PESO TOTAL]]-Tabela1[[#This Row],[Peso Expedido]]</f>
        <v>374.9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-1</v>
      </c>
      <c r="Z827" s="20">
        <f>Tabela1[[#This Row],[PESO TOTAL]]-Tabela1[[#This Row],[Peso Expedido]]</f>
        <v>485.6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181.2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227.6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38.799999999999997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52.4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4.4000000000000004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-2</v>
      </c>
      <c r="Z833" s="20">
        <f>Tabela1[[#This Row],[PESO TOTAL]]-Tabela1[[#This Row],[Peso Expedido]]</f>
        <v>13.8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349">IFERROR(H834*((AA834*0.25)+(AC834*0.25)+(AD834*0.225)+(AE834*0.225)+(AF834*0.05)),"")</f>
        <v>4.2180000000000009</v>
      </c>
      <c r="S834" s="18">
        <f t="shared" ref="S834" si="350">IFERROR(H834*AG834,"")</f>
        <v>0</v>
      </c>
      <c r="T834" s="19">
        <f t="shared" ref="T834" si="351">IFERROR(S834-H834,"")</f>
        <v>-14.8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352">U834-C834</f>
        <v>-2</v>
      </c>
      <c r="Z834" s="20">
        <f>Tabela1[[#This Row],[PESO TOTAL]]-Tabela1[[#This Row],[Peso Expedido]]</f>
        <v>14.8</v>
      </c>
      <c r="AA834" s="17">
        <v>0.3</v>
      </c>
      <c r="AB834" s="17">
        <v>0.3</v>
      </c>
      <c r="AC834" s="17">
        <v>0.3</v>
      </c>
      <c r="AD834" s="17">
        <v>0.3</v>
      </c>
      <c r="AE834" s="17">
        <v>0.3</v>
      </c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" si="353">IFERROR(H835*((AA835*0.25)+(AC835*0.25)+(AD835*0.225)+(AE835*0.225)+(AF835*0.05)),"")</f>
        <v>0</v>
      </c>
      <c r="S835" s="18">
        <f t="shared" ref="S835" si="354">IFERROR(H835*AG835,"")</f>
        <v>0</v>
      </c>
      <c r="T835" s="19">
        <f t="shared" ref="T835" si="355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" si="356">U835-C835</f>
        <v>-1</v>
      </c>
      <c r="Z835" s="20">
        <f>Tabela1[[#This Row],[PESO TOTAL]]-Tabela1[[#This Row],[Peso Expedido]]</f>
        <v>3649.4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2670.7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2649.8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>IFERROR(H838*((AA838*0.25)+(AC838*0.25)+(AD838*0.225)+(AE838*0.225)+(AF838*0.05)),"")</f>
        <v>0</v>
      </c>
      <c r="S838" s="18">
        <f>IFERROR(H838*AG838,"")</f>
        <v>0</v>
      </c>
      <c r="T838" s="19">
        <f>IFERROR(S838-H838,"")</f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>U838-C838</f>
        <v>-1</v>
      </c>
      <c r="Z838" s="20">
        <f>Tabela1[[#This Row],[PESO TOTAL]]-Tabela1[[#This Row],[Peso Expedido]]</f>
        <v>435.1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>IFERROR(H839*((AA839*0.25)+(AC839*0.25)+(AD839*0.225)+(AE839*0.225)+(AF839*0.05)),"")</f>
        <v>0</v>
      </c>
      <c r="S839" s="18">
        <f>IFERROR(H839*AG839,"")</f>
        <v>0</v>
      </c>
      <c r="T839" s="19">
        <f>IFERROR(S839-H839,"")</f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>U839-C839</f>
        <v>-1</v>
      </c>
      <c r="Z839" s="20">
        <f>Tabela1[[#This Row],[PESO TOTAL]]-Tabela1[[#This Row],[Peso Expedido]]</f>
        <v>670.6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ref="R840" si="357">IFERROR(H840*((AA840*0.25)+(AC840*0.25)+(AD840*0.225)+(AE840*0.225)+(AF840*0.05)),"")</f>
        <v>0</v>
      </c>
      <c r="S840" s="18">
        <f t="shared" ref="S840" si="358">IFERROR(H840*AG840,"")</f>
        <v>0</v>
      </c>
      <c r="T840" s="19">
        <f t="shared" ref="T840" si="359">IFERROR(S840-H840,"")</f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ref="Y840" si="360">U840-C840</f>
        <v>-4</v>
      </c>
      <c r="Z840" s="20">
        <f>Tabela1[[#This Row],[PESO TOTAL]]-Tabela1[[#This Row],[Peso Expedido]]</f>
        <v>35.6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ref="R841:R851" si="361">IFERROR(H841*((AA841*0.25)+(AC841*0.25)+(AD841*0.225)+(AE841*0.225)+(AF841*0.05)),"")</f>
        <v>0</v>
      </c>
      <c r="S841" s="18">
        <f t="shared" ref="S841:S851" si="362">IFERROR(H841*AG841,"")</f>
        <v>0</v>
      </c>
      <c r="T841" s="19">
        <f t="shared" ref="T841:T851" si="363">IFERROR(S841-H841,"")</f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ref="Y841:Y851" si="364">U841-C841</f>
        <v>-1</v>
      </c>
      <c r="Z841" s="20">
        <f>Tabela1[[#This Row],[PESO TOTAL]]-Tabela1[[#This Row],[Peso Expedido]]</f>
        <v>325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si="361"/>
        <v>3.78</v>
      </c>
      <c r="S842" s="18">
        <f t="shared" si="362"/>
        <v>3.78</v>
      </c>
      <c r="T842" s="19">
        <f t="shared" si="363"/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364"/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361"/>
        <v>652.95999999999992</v>
      </c>
      <c r="S843" s="18">
        <f t="shared" si="362"/>
        <v>652.95999999999992</v>
      </c>
      <c r="T843" s="19">
        <f t="shared" si="363"/>
        <v>-1212.6399999999999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364"/>
        <v>-32</v>
      </c>
      <c r="Z843" s="20">
        <f>Tabela1[[#This Row],[PESO TOTAL]]-Tabela1[[#This Row],[Peso Expedido]]</f>
        <v>1865.6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361"/>
        <v>224.45499999999996</v>
      </c>
      <c r="S844" s="18">
        <f t="shared" si="362"/>
        <v>224.45499999999996</v>
      </c>
      <c r="T844" s="19">
        <f t="shared" si="363"/>
        <v>-416.84500000000003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364"/>
        <v>-11</v>
      </c>
      <c r="Z844" s="20">
        <f>Tabela1[[#This Row],[PESO TOTAL]]-Tabela1[[#This Row],[Peso Expedido]]</f>
        <v>641.29999999999995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361"/>
        <v>45.219999999999992</v>
      </c>
      <c r="S845" s="18">
        <f t="shared" si="362"/>
        <v>45.219999999999992</v>
      </c>
      <c r="T845" s="19">
        <f t="shared" si="363"/>
        <v>-83.97999999999999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364"/>
        <v>-4</v>
      </c>
      <c r="Z845" s="20">
        <f>Tabela1[[#This Row],[PESO TOTAL]]-Tabela1[[#This Row],[Peso Expedido]]</f>
        <v>129.19999999999999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361"/>
        <v>39.619999999999997</v>
      </c>
      <c r="S846" s="18">
        <f t="shared" si="362"/>
        <v>39.619999999999997</v>
      </c>
      <c r="T846" s="19">
        <f t="shared" si="363"/>
        <v>-73.580000000000013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364"/>
        <v>-4</v>
      </c>
      <c r="Z846" s="20">
        <f>Tabela1[[#This Row],[PESO TOTAL]]-Tabela1[[#This Row],[Peso Expedido]]</f>
        <v>113.2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361"/>
        <v>39.619999999999997</v>
      </c>
      <c r="S847" s="18">
        <f t="shared" si="362"/>
        <v>39.619999999999997</v>
      </c>
      <c r="T847" s="19">
        <f t="shared" si="363"/>
        <v>-73.580000000000013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364"/>
        <v>-4</v>
      </c>
      <c r="Z847" s="20">
        <f>Tabela1[[#This Row],[PESO TOTAL]]-Tabela1[[#This Row],[Peso Expedido]]</f>
        <v>113.2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361"/>
        <v>79.239999999999995</v>
      </c>
      <c r="S848" s="18">
        <f t="shared" si="362"/>
        <v>79.239999999999995</v>
      </c>
      <c r="T848" s="19">
        <f t="shared" si="363"/>
        <v>-147.16000000000003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364"/>
        <v>-8</v>
      </c>
      <c r="Z848" s="20">
        <f>Tabela1[[#This Row],[PESO TOTAL]]-Tabela1[[#This Row],[Peso Expedido]]</f>
        <v>226.4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>IFERROR(H849*((AA849*0.25)+(AC849*0.25)+(AD849*0.225)+(AE849*0.225)+(AF849*0.05)),"")</f>
        <v>25.759999999999998</v>
      </c>
      <c r="S849" s="18">
        <f t="shared" si="362"/>
        <v>25.759999999999998</v>
      </c>
      <c r="T849" s="19">
        <f t="shared" si="363"/>
        <v>-47.839999999999996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364"/>
        <v>-4</v>
      </c>
      <c r="Z849" s="20">
        <f>Tabela1[[#This Row],[PESO TOTAL]]-Tabela1[[#This Row],[Peso Expedido]]</f>
        <v>73.599999999999994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>IFERROR(H850*((AA850*0.25)+(AC850*0.25)+(AD850*0.225)+(AE850*0.225)+(AF850*0.05)),"")</f>
        <v>43.26</v>
      </c>
      <c r="S850" s="18">
        <f t="shared" si="362"/>
        <v>43.26</v>
      </c>
      <c r="T850" s="19">
        <f t="shared" si="363"/>
        <v>-80.34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364"/>
        <v>-4</v>
      </c>
      <c r="Z850" s="20">
        <f>Tabela1[[#This Row],[PESO TOTAL]]-Tabela1[[#This Row],[Peso Expedido]]</f>
        <v>123.6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361"/>
        <v>9.4499999999999993</v>
      </c>
      <c r="S851" s="18">
        <f t="shared" si="362"/>
        <v>9.4499999999999993</v>
      </c>
      <c r="T851" s="19">
        <f t="shared" si="363"/>
        <v>-17.55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364"/>
        <v>-1</v>
      </c>
      <c r="Z851" s="20">
        <f>Tabela1[[#This Row],[PESO TOTAL]]-Tabela1[[#This Row],[Peso Expedido]]</f>
        <v>27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>IFERROR(H852*((AA852*0.25)+(AC852*0.25)+(AD852*0.225)+(AE852*0.225)+(AF852*0.05)),"")</f>
        <v>34.299999999999997</v>
      </c>
      <c r="S852" s="18">
        <f>IFERROR(H852*AG852,"")</f>
        <v>34.299999999999997</v>
      </c>
      <c r="T852" s="19">
        <f>IFERROR(S852-H852,"")</f>
        <v>-63.7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>U852-C852</f>
        <v>-14</v>
      </c>
      <c r="Z852" s="20">
        <f>Tabela1[[#This Row],[PESO TOTAL]]-Tabela1[[#This Row],[Peso Expedido]]</f>
        <v>98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ref="R853:R854" si="365">IFERROR(H853*((AA853*0.25)+(AC853*0.25)+(AD853*0.225)+(AE853*0.225)+(AF853*0.05)),"")</f>
        <v>0</v>
      </c>
      <c r="S853" s="18">
        <f t="shared" ref="S853:S854" si="366">IFERROR(H853*AG853,"")</f>
        <v>0</v>
      </c>
      <c r="T853" s="19">
        <f t="shared" ref="T853:T854" si="367">IFERROR(S853-H853,"")</f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ref="Y853:Y854" si="368">U853-C853</f>
        <v>-1</v>
      </c>
      <c r="Z853" s="20">
        <f>Tabela1[[#This Row],[PESO TOTAL]]-Tabela1[[#This Row],[Peso Expedido]]</f>
        <v>355.2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 t="shared" si="365"/>
        <v>0</v>
      </c>
      <c r="S854" s="18">
        <f t="shared" si="366"/>
        <v>0</v>
      </c>
      <c r="T854" s="19">
        <f t="shared" si="367"/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368"/>
        <v>-2</v>
      </c>
      <c r="Z854" s="20">
        <f>Tabela1[[#This Row],[PESO TOTAL]]-Tabela1[[#This Row],[Peso Expedido]]</f>
        <v>81.2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>IFERROR(H855*((AA855*0.25)+(AC855*0.25)+(AD855*0.225)+(AE855*0.225)+(AF855*0.05)),"")</f>
        <v>0</v>
      </c>
      <c r="S855" s="18">
        <f>IFERROR(H855*AG855,"")</f>
        <v>0</v>
      </c>
      <c r="T855" s="19">
        <f>IFERROR(S855-H855,"")</f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>U855-C855</f>
        <v>-2</v>
      </c>
      <c r="Z855" s="20">
        <f>Tabela1[[#This Row],[PESO TOTAL]]-Tabela1[[#This Row],[Peso Expedido]]</f>
        <v>212.8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>
        <v>0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>IFERROR(H856*((AA856*0.25)+(AC856*0.25)+(AD856*0.225)+(AE856*0.225)+(AF856*0.05)),"")</f>
        <v>0</v>
      </c>
      <c r="S856" s="18">
        <f>IFERROR(H856*AG856,"")</f>
        <v>0</v>
      </c>
      <c r="T856" s="19">
        <f>IFERROR(S856-H856,"")</f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>U856-C856</f>
        <v>-1</v>
      </c>
      <c r="Z856" s="20">
        <f>Tabela1[[#This Row],[PESO TOTAL]]-Tabela1[[#This Row],[Peso Expedido]]</f>
        <v>435.1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>IFERROR(H857*((AA857*0.25)+(AC857*0.25)+(AD857*0.225)+(AE857*0.225)+(AF857*0.05)),"")</f>
        <v>0</v>
      </c>
      <c r="S857" s="18">
        <f>IFERROR(H857*AG857,"")</f>
        <v>0</v>
      </c>
      <c r="T857" s="19">
        <f>IFERROR(S857-H857,"")</f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>U857-C857</f>
        <v>-2</v>
      </c>
      <c r="Z857" s="20">
        <f>Tabela1[[#This Row],[PESO TOTAL]]-Tabela1[[#This Row],[Peso Expedido]]</f>
        <v>87.2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ref="R858" si="369">IFERROR(H858*((AA858*0.25)+(AC858*0.25)+(AD858*0.225)+(AE858*0.225)+(AF858*0.05)),"")</f>
        <v>0</v>
      </c>
      <c r="S858" s="18">
        <f t="shared" ref="S858" si="370">IFERROR(H858*AG858,"")</f>
        <v>0</v>
      </c>
      <c r="T858" s="19">
        <f t="shared" ref="T858" si="371">IFERROR(S858-H858,"")</f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ref="Y858" si="372">U858-C858</f>
        <v>-1</v>
      </c>
      <c r="Z858" s="20">
        <f>Tabela1[[#This Row],[PESO TOTAL]]-Tabela1[[#This Row],[Peso Expedido]]</f>
        <v>72</v>
      </c>
      <c r="AA858" s="17"/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>IFERROR(H859*((AA859*0.25)+(AC859*0.25)+(AD859*0.225)+(AE859*0.225)+(AF859*0.05)),"")</f>
        <v>0</v>
      </c>
      <c r="S859" s="18">
        <f>IFERROR(H859*AG859,"")</f>
        <v>0</v>
      </c>
      <c r="T859" s="19">
        <f>IFERROR(S859-H859,"")</f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>U859-C859</f>
        <v>-2</v>
      </c>
      <c r="Z859" s="20">
        <f>Tabela1[[#This Row],[PESO TOTAL]]-Tabela1[[#This Row],[Peso Expedido]]</f>
        <v>12.6</v>
      </c>
      <c r="AA859" s="17"/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>IFERROR(H860*((AA860*0.25)+(AC860*0.25)+(AD860*0.225)+(AE860*0.225)+(AF860*0.05)),"")</f>
        <v>0</v>
      </c>
      <c r="S860" s="18">
        <f>IFERROR(H860*AG860,"")</f>
        <v>0</v>
      </c>
      <c r="T860" s="19">
        <f>IFERROR(S860-H860,"")</f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>U860-C860</f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>IFERROR(H861*((AA861*0.25)+(AC861*0.25)+(AD861*0.225)+(AE861*0.225)+(AF861*0.05)),"")</f>
        <v>0</v>
      </c>
      <c r="S861" s="18">
        <f>IFERROR(H861*AG861,"")</f>
        <v>0</v>
      </c>
      <c r="T861" s="19">
        <f>IFERROR(S861-H861,"")</f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>U861-C861</f>
        <v>-2</v>
      </c>
      <c r="Z861" s="20">
        <f>Tabela1[[#This Row],[PESO TOTAL]]-Tabela1[[#This Row],[Peso Expedido]]</f>
        <v>107.4</v>
      </c>
      <c r="AA861" s="17"/>
      <c r="AB861" s="33"/>
      <c r="AC861" s="33"/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 t="shared" ref="R862:R865" si="373">IFERROR(H862*((AA862*0.25)+(AC862*0.25)+(AD862*0.225)+(AE862*0.225)+(AF862*0.05)),"")</f>
        <v>0</v>
      </c>
      <c r="S862" s="18">
        <f t="shared" ref="S862:S865" si="374">IFERROR(H862*AG862,"")</f>
        <v>0</v>
      </c>
      <c r="T862" s="19">
        <f t="shared" ref="T862:T865" si="375">IFERROR(S862-H862,"")</f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ref="Y862:Y865" si="376">U862-C862</f>
        <v>-1</v>
      </c>
      <c r="Z862" s="20">
        <f>Tabela1[[#This Row],[PESO TOTAL]]-Tabela1[[#This Row],[Peso Expedido]]</f>
        <v>170.2</v>
      </c>
      <c r="AA862" s="17"/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 t="shared" si="373"/>
        <v>0</v>
      </c>
      <c r="S863" s="18">
        <f t="shared" si="374"/>
        <v>0</v>
      </c>
      <c r="T863" s="19">
        <f t="shared" si="375"/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376"/>
        <v>-1</v>
      </c>
      <c r="Z863" s="20">
        <f>Tabela1[[#This Row],[PESO TOTAL]]-Tabela1[[#This Row],[Peso Expedido]]</f>
        <v>220.2</v>
      </c>
      <c r="AA863" s="17"/>
      <c r="AB863" s="33"/>
      <c r="AC863" s="33"/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373"/>
        <v>0</v>
      </c>
      <c r="S864" s="18">
        <f t="shared" si="374"/>
        <v>0</v>
      </c>
      <c r="T864" s="19">
        <f t="shared" si="375"/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376"/>
        <v>-1</v>
      </c>
      <c r="Z864" s="20">
        <f>Tabela1[[#This Row],[PESO TOTAL]]-Tabela1[[#This Row],[Peso Expedido]]</f>
        <v>220.2</v>
      </c>
      <c r="AA864" s="17"/>
      <c r="AB864" s="33"/>
      <c r="AC864" s="33"/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 t="shared" si="373"/>
        <v>0</v>
      </c>
      <c r="S865" s="18">
        <f t="shared" si="374"/>
        <v>0</v>
      </c>
      <c r="T865" s="19">
        <f t="shared" si="375"/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376"/>
        <v>-2</v>
      </c>
      <c r="Z865" s="20">
        <f>Tabela1[[#This Row],[PESO TOTAL]]-Tabela1[[#This Row],[Peso Expedido]]</f>
        <v>110.2</v>
      </c>
      <c r="AA865" s="17"/>
      <c r="AB865" s="33"/>
      <c r="AC865" s="33"/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>IFERROR(H866*((AA866*0.25)+(AC866*0.25)+(AD866*0.225)+(AE866*0.225)+(AF866*0.05)),"")</f>
        <v>0</v>
      </c>
      <c r="S866" s="18">
        <f>IFERROR(H866*AG866,"")</f>
        <v>0</v>
      </c>
      <c r="T866" s="19">
        <f>IFERROR(S866-H866,"")</f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>U866-C866</f>
        <v>-2</v>
      </c>
      <c r="Z866" s="20">
        <f>Tabela1[[#This Row],[PESO TOTAL]]-Tabela1[[#This Row],[Peso Expedido]]</f>
        <v>138</v>
      </c>
      <c r="AA866" s="17"/>
      <c r="AB866" s="33"/>
      <c r="AC866" s="33"/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210" t="s">
        <v>5032</v>
      </c>
      <c r="B867" s="21"/>
      <c r="C867" s="208">
        <v>6</v>
      </c>
      <c r="D867" s="1" t="s">
        <v>5033</v>
      </c>
      <c r="E867" s="211">
        <v>4522</v>
      </c>
      <c r="F867" s="194">
        <v>1</v>
      </c>
      <c r="G867" s="1">
        <v>15</v>
      </c>
      <c r="H867" s="34">
        <f>Tabela1[[#This Row],[PESO UNI]]*Tabela1[[#This Row],[QTE]]</f>
        <v>90</v>
      </c>
      <c r="I867" s="7" t="s">
        <v>43</v>
      </c>
      <c r="J867" s="8" t="s">
        <v>5034</v>
      </c>
      <c r="K867" s="8" t="s">
        <v>23</v>
      </c>
      <c r="L867" s="9" t="s">
        <v>5035</v>
      </c>
      <c r="M867" s="10">
        <v>46245</v>
      </c>
      <c r="N867" s="8" t="s">
        <v>38</v>
      </c>
      <c r="O867" s="12"/>
      <c r="P867" s="13"/>
      <c r="Q867" s="14">
        <f>Tabela1[[#This Row],[QTDE/ Fabricação]]-Tabela1[[#This Row],[QTE]]</f>
        <v>-6</v>
      </c>
      <c r="R867" s="18">
        <f>IFERROR(H867*((AA867*0.25)+(AC867*0.25)+(AD867*0.225)+(AE867*0.225)+(AF867*0.05)),"")</f>
        <v>0</v>
      </c>
      <c r="S867" s="18">
        <f>IFERROR(H867*AG867,"")</f>
        <v>0</v>
      </c>
      <c r="T867" s="19">
        <f>IFERROR(S867-H867,"")</f>
        <v>-90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>U867-C867</f>
        <v>-6</v>
      </c>
      <c r="Z867" s="20">
        <f>Tabela1[[#This Row],[PESO TOTAL]]-Tabela1[[#This Row],[Peso Expedido]]</f>
        <v>90</v>
      </c>
      <c r="AA867" s="17"/>
      <c r="AB867" s="33"/>
      <c r="AC867" s="33"/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s="1" customFormat="1" ht="15.75" hidden="1" customHeight="1" x14ac:dyDescent="0.25">
      <c r="A868" s="1" t="s">
        <v>5036</v>
      </c>
      <c r="C868" s="1">
        <v>10</v>
      </c>
      <c r="D868" s="1" t="s">
        <v>5037</v>
      </c>
      <c r="E868" s="1">
        <v>4523</v>
      </c>
      <c r="F868" s="1">
        <v>1</v>
      </c>
      <c r="G868" s="1">
        <v>10.5</v>
      </c>
      <c r="H868" s="1">
        <f>Tabela1[[#This Row],[PESO UNI]]*Tabela1[[#This Row],[QTE]]</f>
        <v>105</v>
      </c>
      <c r="I868" s="1" t="s">
        <v>43</v>
      </c>
      <c r="J868" s="1" t="s">
        <v>5034</v>
      </c>
      <c r="K868" s="1" t="s">
        <v>23</v>
      </c>
      <c r="L868" s="9" t="s">
        <v>5035</v>
      </c>
      <c r="M868" s="1">
        <v>46245</v>
      </c>
      <c r="N868" s="1" t="s">
        <v>38</v>
      </c>
      <c r="Q868" s="1">
        <f>Tabela1[[#This Row],[QTDE/ Fabricação]]-Tabela1[[#This Row],[QTE]]</f>
        <v>-10</v>
      </c>
      <c r="R868" s="1">
        <f t="shared" ref="R868" si="377">IFERROR(H868*((AA868*0.25)+(AC868*0.25)+(AD868*0.225)+(AE868*0.225)+(AF868*0.05)),"")</f>
        <v>0</v>
      </c>
      <c r="S868" s="1">
        <f t="shared" ref="S868" si="378">IFERROR(H868*AG868,"")</f>
        <v>0</v>
      </c>
      <c r="T868" s="1">
        <f t="shared" ref="T868" si="379">IFERROR(S868-H868,"")</f>
        <v>-105</v>
      </c>
      <c r="U868" s="1">
        <f>IFERROR(SUMIF('LISTA DE EMBARQUE'!B:B,MICRO!E:E,'LISTA DE EMBARQUE'!G:G),"")</f>
        <v>0</v>
      </c>
      <c r="V868" s="1" t="str">
        <f>IFERROR(VLOOKUP(Tabela1[[#This Row],[COD.MDE]],'LISTA DE EMBARQUE'!B:L,11,0),"")</f>
        <v/>
      </c>
      <c r="W868" s="1" t="str">
        <f>IFERROR(VLOOKUP(Tabela1[[#This Row],[COD.MDE]],'LISTA DE EMBARQUE'!B:M,12,0),"")</f>
        <v/>
      </c>
      <c r="X868" s="1">
        <f>IFERROR(Tabela1[[#This Row],[QIANTIDADE EXPEDIDA]]*Tabela1[[#This Row],[PESO UNI]],"")</f>
        <v>0</v>
      </c>
      <c r="Y868" s="1">
        <f t="shared" ref="Y868" si="380">U868-C868</f>
        <v>-10</v>
      </c>
      <c r="Z868" s="1">
        <f>Tabela1[[#This Row],[PESO TOTAL]]-Tabela1[[#This Row],[Peso Expedido]]</f>
        <v>105</v>
      </c>
    </row>
    <row r="869" spans="1:49" s="1" customFormat="1" ht="15.75" hidden="1" customHeight="1" x14ac:dyDescent="0.25">
      <c r="A869" s="1" t="s">
        <v>5038</v>
      </c>
      <c r="C869" s="1">
        <v>5</v>
      </c>
      <c r="D869" s="1" t="s">
        <v>5039</v>
      </c>
      <c r="E869" s="1">
        <v>4524</v>
      </c>
      <c r="F869" s="1">
        <v>1</v>
      </c>
      <c r="G869" s="1">
        <v>35</v>
      </c>
      <c r="H869" s="1">
        <f>Tabela1[[#This Row],[PESO UNI]]*Tabela1[[#This Row],[QTE]]</f>
        <v>175</v>
      </c>
      <c r="I869" s="1" t="s">
        <v>43</v>
      </c>
      <c r="J869" s="1" t="s">
        <v>5034</v>
      </c>
      <c r="K869" s="1" t="s">
        <v>23</v>
      </c>
      <c r="L869" s="9" t="s">
        <v>5035</v>
      </c>
      <c r="M869" s="1">
        <v>46245</v>
      </c>
      <c r="N869" s="1" t="s">
        <v>38</v>
      </c>
      <c r="Q869" s="1">
        <f>Tabela1[[#This Row],[QTDE/ Fabricação]]-Tabela1[[#This Row],[QTE]]</f>
        <v>-5</v>
      </c>
      <c r="R869" s="1">
        <f>IFERROR(H869*((AA869*0.25)+(AC869*0.25)+(AD869*0.225)+(AE869*0.225)+(AF869*0.05)),"")</f>
        <v>0</v>
      </c>
      <c r="S869" s="1">
        <f>IFERROR(H869*AG869,"")</f>
        <v>0</v>
      </c>
      <c r="T869" s="1">
        <f>IFERROR(S869-H869,"")</f>
        <v>-175</v>
      </c>
      <c r="U869" s="1">
        <f>IFERROR(SUMIF('LISTA DE EMBARQUE'!B:B,MICRO!E:E,'LISTA DE EMBARQUE'!G:G),"")</f>
        <v>0</v>
      </c>
      <c r="V869" s="1" t="str">
        <f>IFERROR(VLOOKUP(Tabela1[[#This Row],[COD.MDE]],'LISTA DE EMBARQUE'!B:L,11,0),"")</f>
        <v/>
      </c>
      <c r="W869" s="1" t="str">
        <f>IFERROR(VLOOKUP(Tabela1[[#This Row],[COD.MDE]],'LISTA DE EMBARQUE'!B:M,12,0),"")</f>
        <v/>
      </c>
      <c r="X869" s="1">
        <f>IFERROR(Tabela1[[#This Row],[QIANTIDADE EXPEDIDA]]*Tabela1[[#This Row],[PESO UNI]],"")</f>
        <v>0</v>
      </c>
      <c r="Y869" s="1">
        <f>U869-C869</f>
        <v>-5</v>
      </c>
      <c r="Z869" s="1">
        <f>Tabela1[[#This Row],[PESO TOTAL]]-Tabela1[[#This Row],[Peso Expedido]]</f>
        <v>175</v>
      </c>
    </row>
    <row r="870" spans="1:49" ht="15.75" hidden="1" customHeight="1" x14ac:dyDescent="0.25">
      <c r="A870" s="1" t="s">
        <v>5042</v>
      </c>
      <c r="B870" s="21"/>
      <c r="C870" s="1">
        <v>710</v>
      </c>
      <c r="D870" s="1" t="s">
        <v>5043</v>
      </c>
      <c r="E870" s="7">
        <v>4525</v>
      </c>
      <c r="F870" s="7">
        <v>13</v>
      </c>
      <c r="G870" s="1">
        <v>35</v>
      </c>
      <c r="H870" s="34">
        <f>Tabela1[[#This Row],[PESO UNI]]*Tabela1[[#This Row],[QTE]]</f>
        <v>24850</v>
      </c>
      <c r="I870" s="7">
        <v>0</v>
      </c>
      <c r="J870" s="8" t="s">
        <v>4834</v>
      </c>
      <c r="K870" s="8" t="s">
        <v>4320</v>
      </c>
      <c r="L870" s="9" t="s">
        <v>3291</v>
      </c>
      <c r="M870" s="10">
        <v>46246</v>
      </c>
      <c r="N870" s="8" t="s">
        <v>38</v>
      </c>
      <c r="O870" s="12"/>
      <c r="P870" s="13"/>
      <c r="Q870" s="14">
        <f>Tabela1[[#This Row],[QTDE/ Fabricação]]-Tabela1[[#This Row],[QTE]]</f>
        <v>-710</v>
      </c>
      <c r="R870" s="18">
        <f>IFERROR(H870*((AA870*0.25)+(AC870*0.25)+(AD870*0.225)+(AE870*0.225)+(AF870*0.05)),"")</f>
        <v>0</v>
      </c>
      <c r="S870" s="18">
        <f>IFERROR(H870*AG870,"")</f>
        <v>0</v>
      </c>
      <c r="T870" s="19">
        <f>IFERROR(S870-H870,"")</f>
        <v>-24850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>U870-C870</f>
        <v>-710</v>
      </c>
      <c r="Z870" s="20">
        <f>Tabela1[[#This Row],[PESO TOTAL]]-Tabela1[[#This Row],[Peso Expedido]]</f>
        <v>24850</v>
      </c>
      <c r="AA870" s="17"/>
      <c r="AB870" s="33"/>
      <c r="AC870" s="33"/>
      <c r="AD870" s="33"/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5" t="s">
        <v>414</v>
      </c>
      <c r="C871" s="25">
        <v>10</v>
      </c>
      <c r="D871" s="1" t="s">
        <v>5044</v>
      </c>
      <c r="E871" s="25">
        <v>4526</v>
      </c>
      <c r="F871" s="25">
        <v>1</v>
      </c>
      <c r="G871" s="1">
        <v>5</v>
      </c>
      <c r="H871" s="34">
        <f>Tabela1[[#This Row],[PESO UNI]]*Tabela1[[#This Row],[QTE]]</f>
        <v>50</v>
      </c>
      <c r="I871" s="7">
        <v>0</v>
      </c>
      <c r="J871" s="8" t="s">
        <v>5045</v>
      </c>
      <c r="K871" s="8" t="s">
        <v>23</v>
      </c>
      <c r="L871" s="9" t="s">
        <v>5046</v>
      </c>
      <c r="M871" s="10">
        <v>46246</v>
      </c>
      <c r="N871" s="8" t="s">
        <v>38</v>
      </c>
      <c r="O871" s="12"/>
      <c r="P871" s="13"/>
      <c r="Q871" s="14">
        <f>Tabela1[[#This Row],[QTDE/ Fabricação]]-Tabela1[[#This Row],[QTE]]</f>
        <v>-10</v>
      </c>
      <c r="R871" s="18">
        <f>IFERROR(H871*((AA871*0.25)+(AC871*0.25)+(AD871*0.225)+(AE871*0.225)+(AF871*0.05)),"")</f>
        <v>0</v>
      </c>
      <c r="S871" s="18">
        <f>IFERROR(H871*AG871,"")</f>
        <v>0</v>
      </c>
      <c r="T871" s="19">
        <f>IFERROR(S871-H871,"")</f>
        <v>-50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>U871-C871</f>
        <v>-10</v>
      </c>
      <c r="Z871" s="20">
        <f>Tabela1[[#This Row],[PESO TOTAL]]-Tabela1[[#This Row],[Peso Expedido]]</f>
        <v>50</v>
      </c>
      <c r="AA871" s="17"/>
      <c r="AB871" s="33"/>
      <c r="AC871" s="33"/>
      <c r="AD871" s="33"/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</row>
  </sheetData>
  <phoneticPr fontId="6" type="noConversion"/>
  <conditionalFormatting sqref="E2:E458 AA29:AH449 AI29:AI459 AA452:AD453 AA454:AB458 AD454:AD458 AA486:AH604 E556:E604 L605 J605:J867 E606:E867 AA762:AJ762 AC762:AE763 AA763:AI867 E870 J870:J871 AA870:AI871">
    <cfRule type="expression" dxfId="67" priority="179">
      <formula>$AI2="OK"</formula>
    </cfRule>
  </conditionalFormatting>
  <conditionalFormatting sqref="F564:F867 B606:B867 H606:I867 K764:O864 K865:K867 M865:O867 L865:L871 B870 F870">
    <cfRule type="expression" dxfId="66" priority="63">
      <formula>#REF!="OK"</formula>
    </cfRule>
  </conditionalFormatting>
  <conditionalFormatting sqref="H419">
    <cfRule type="expression" dxfId="65" priority="26972">
      <formula>$AI449="OK"</formula>
    </cfRule>
  </conditionalFormatting>
  <conditionalFormatting sqref="H420:H438">
    <cfRule type="expression" dxfId="64" priority="26962">
      <formula>$AI459="OK"</formula>
    </cfRule>
  </conditionalFormatting>
  <conditionalFormatting sqref="H576">
    <cfRule type="expression" dxfId="63" priority="26939">
      <formula>$AI604="OK"</formula>
    </cfRule>
  </conditionalFormatting>
  <conditionalFormatting sqref="H870:I871 K870:K871 M870:O871">
    <cfRule type="expression" dxfId="62" priority="6">
      <formula>#REF!="OK"</formula>
    </cfRule>
  </conditionalFormatting>
  <conditionalFormatting sqref="K153:K438 K445:K458 L448:L449 L762:O763">
    <cfRule type="expression" dxfId="61" priority="188">
      <formula>#REF!="OK"</formula>
    </cfRule>
  </conditionalFormatting>
  <conditionalFormatting sqref="K762:K763">
    <cfRule type="expression" dxfId="60" priority="71">
      <formula>$AI891="OK"</formula>
    </cfRule>
  </conditionalFormatting>
  <conditionalFormatting sqref="L2:L27 H415:H417">
    <cfRule type="expression" dxfId="59" priority="26715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8" priority="185">
      <formula>$AI72="OK"</formula>
    </cfRule>
  </conditionalFormatting>
  <conditionalFormatting sqref="L408">
    <cfRule type="expression" dxfId="57" priority="26964">
      <formula>$AI449="OK"</formula>
    </cfRule>
  </conditionalFormatting>
  <conditionalFormatting sqref="L409:L438">
    <cfRule type="expression" dxfId="56" priority="26817">
      <formula>$AI459="OK"</formula>
    </cfRule>
  </conditionalFormatting>
  <conditionalFormatting sqref="N2:N458">
    <cfRule type="expression" dxfId="55" priority="69">
      <formula>#REF!="OK"</formula>
    </cfRule>
  </conditionalFormatting>
  <conditionalFormatting sqref="O450:O458">
    <cfRule type="cellIs" dxfId="54" priority="134" operator="lessThan">
      <formula>0</formula>
    </cfRule>
  </conditionalFormatting>
  <conditionalFormatting sqref="O450:P452 H449 R449 A450:D452 F450:F452 M450:M452 H450:J458 P457:P458">
    <cfRule type="expression" dxfId="53" priority="26773">
      <formula>$AI503="OK"</formula>
    </cfRule>
  </conditionalFormatting>
  <conditionalFormatting sqref="O453:P453">
    <cfRule type="expression" dxfId="52" priority="145">
      <formula>#REF!="OK"</formula>
    </cfRule>
  </conditionalFormatting>
  <conditionalFormatting sqref="O2:Z27 A2:D27 F2:F27 H2:K27 M2:M27 H153:H413 H459:H571">
    <cfRule type="expression" dxfId="51" priority="26748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50" priority="26446">
      <formula>$AI73="OK"</formula>
    </cfRule>
  </conditionalFormatting>
  <conditionalFormatting sqref="O108:Z108 A108:D108 F108 H108:K108 M108 L109">
    <cfRule type="expression" dxfId="49" priority="27081">
      <formula>#REF!="OK"</formula>
    </cfRule>
  </conditionalFormatting>
  <conditionalFormatting sqref="O402:Z402 O406:Z406 A402:D402 F402 I402:J402 M402 L403 A406:D406 F406 I406:J406 M406 L407 H414 H418">
    <cfRule type="expression" dxfId="48" priority="26965">
      <formula>#REF!="OK"</formula>
    </cfRule>
  </conditionalFormatting>
  <conditionalFormatting sqref="O403:Z405 L110:L152 L214:L256 L396:L402 A403:D405 F403:F405 I403:J405 M403:M405">
    <cfRule type="expression" dxfId="47" priority="26652">
      <formula>$AI153="OK"</formula>
    </cfRule>
  </conditionalFormatting>
  <conditionalFormatting sqref="O407:Z407 L404:L406 A407:D407 F407 I407:J407 M407">
    <cfRule type="expression" dxfId="46" priority="26974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45" priority="26787">
      <formula>$AI499="OK"</formula>
    </cfRule>
  </conditionalFormatting>
  <conditionalFormatting sqref="O559:Z562 Z560:Z563 B559:B562 F559:F562 I559:I562 M559:M562 H572:H575">
    <cfRule type="expression" dxfId="44" priority="26902">
      <formula>#REF!="OK"</formula>
    </cfRule>
  </conditionalFormatting>
  <conditionalFormatting sqref="O563:Z563 B563 F563 I563 M563">
    <cfRule type="expression" dxfId="43" priority="26816">
      <formula>$AI604="OK"</formula>
    </cfRule>
  </conditionalFormatting>
  <conditionalFormatting sqref="P762:Z834">
    <cfRule type="expression" dxfId="42" priority="27101">
      <formula>$AI901="OK"</formula>
    </cfRule>
  </conditionalFormatting>
  <conditionalFormatting sqref="P835:Z867">
    <cfRule type="expression" dxfId="41" priority="27147">
      <formula>$AI972="OK"</formula>
    </cfRule>
  </conditionalFormatting>
  <conditionalFormatting sqref="P837:Z867">
    <cfRule type="expression" dxfId="40" priority="27111">
      <formula>$AI973="OK"</formula>
    </cfRule>
  </conditionalFormatting>
  <conditionalFormatting sqref="P870:Z871">
    <cfRule type="expression" dxfId="39" priority="4">
      <formula>$AI1006="OK"</formula>
    </cfRule>
    <cfRule type="expression" dxfId="38" priority="5">
      <formula>$AI1007="OK"</formula>
    </cfRule>
  </conditionalFormatting>
  <conditionalFormatting sqref="Q2:Q456 Q459:Q867 Q870:Q871">
    <cfRule type="cellIs" dxfId="37" priority="26415" operator="greaterThanOrEqual">
      <formula>0</formula>
    </cfRule>
  </conditionalFormatting>
  <conditionalFormatting sqref="Q2:Q456 Q870:Q871 Q459:Q867">
    <cfRule type="cellIs" dxfId="36" priority="26414" operator="lessThan">
      <formula>0</formula>
    </cfRule>
  </conditionalFormatting>
  <conditionalFormatting sqref="S211">
    <cfRule type="expression" dxfId="35" priority="186">
      <formula>#REF!="OK"</formula>
    </cfRule>
  </conditionalFormatting>
  <conditionalFormatting sqref="S393">
    <cfRule type="expression" dxfId="34" priority="187">
      <formula>#REF!="OK"</formula>
    </cfRule>
  </conditionalFormatting>
  <conditionalFormatting sqref="S447:Z447 O447:Q447 A447:D447 F447 J447 M447 A453:D453 F453 M453 L454:L458">
    <cfRule type="expression" dxfId="33" priority="26772">
      <formula>#REF!="OK"</formula>
    </cfRule>
  </conditionalFormatting>
  <conditionalFormatting sqref="T2:T867 Y2:Z867 O450:O458 T870:T871 Y870:Z871">
    <cfRule type="cellIs" dxfId="32" priority="135" operator="greaterThanOrEqual">
      <formula>0</formula>
    </cfRule>
  </conditionalFormatting>
  <conditionalFormatting sqref="T2:T867 Y2:Z867 T870:T871 Y870:Z871">
    <cfRule type="cellIs" dxfId="31" priority="26416" operator="lessThan">
      <formula>0</formula>
    </cfRule>
  </conditionalFormatting>
  <conditionalFormatting sqref="T212:Z212 O212:R212 A212:D212 F212 I212:J212 M212">
    <cfRule type="expression" dxfId="30" priority="26626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9" priority="26514">
      <formula>$AI257="OK"</formula>
    </cfRule>
  </conditionalFormatting>
  <conditionalFormatting sqref="T394:Z394 O394:R394 A394:D394 F394 I394:J394 M394 L395">
    <cfRule type="expression" dxfId="28" priority="26677">
      <formula>#REF!="OK"</formula>
    </cfRule>
  </conditionalFormatting>
  <conditionalFormatting sqref="T408:Z438 O408:R438 S408:S437 A408:D438 F408:F438 I408:J438 M408:M438 L439:L445">
    <cfRule type="expression" dxfId="27" priority="27058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6" priority="26967">
      <formula>$AI490="OK"</formula>
    </cfRule>
  </conditionalFormatting>
  <conditionalFormatting sqref="T605:Z605 Q605:R605 H605">
    <cfRule type="expression" dxfId="25" priority="26954">
      <formula>$AI669="OK"</formula>
    </cfRule>
  </conditionalFormatting>
  <conditionalFormatting sqref="V450:Y451 R450:T458 V452:Z458">
    <cfRule type="expression" dxfId="24" priority="26872">
      <formula>$AI487="OK"</formula>
    </cfRule>
  </conditionalFormatting>
  <conditionalFormatting sqref="Z450:Z451 O564:Z622 K623:Z761 K556:K622 B564:B603 I564:I603 M564:M603 H577:H603 A604:D605 H604:J605 L604:N622">
    <cfRule type="expression" dxfId="23" priority="26941">
      <formula>#REF!="OK"</formula>
    </cfRule>
  </conditionalFormatting>
  <conditionalFormatting sqref="Z450:Z451">
    <cfRule type="expression" dxfId="22" priority="118">
      <formula>$AI494="OK"</formula>
    </cfRule>
  </conditionalFormatting>
  <conditionalFormatting sqref="Z564">
    <cfRule type="expression" dxfId="21" priority="26932">
      <formula>$AI604="OK"</formula>
    </cfRule>
  </conditionalFormatting>
  <conditionalFormatting sqref="Z605">
    <cfRule type="expression" dxfId="20" priority="26957">
      <formula>$AI668="OK"</formula>
    </cfRule>
  </conditionalFormatting>
  <conditionalFormatting sqref="AA606:AH761">
    <cfRule type="expression" dxfId="19" priority="103">
      <formula>$AI606="OK"</formula>
    </cfRule>
    <cfRule type="cellIs" dxfId="18" priority="102" operator="greaterThanOrEqual">
      <formula>1</formula>
    </cfRule>
  </conditionalFormatting>
  <conditionalFormatting sqref="AA2:AI28 AA450:AE451 AE452:AG452 AF453:AG458 AA459:AH459 A459:G555 I459:N555 AA460:AI603 J556:J603 L556:L603">
    <cfRule type="expression" dxfId="17" priority="26412">
      <formula>$AI2="OK"</formula>
    </cfRule>
  </conditionalFormatting>
  <conditionalFormatting sqref="AA2:AI28 AA29:AH451 AI29:AI459 AJ153:AW153 AE452:AG452 AA452:AD453 AE453 AF453:AG458 AA454:AB458 AD454:AG458 AA459:AH459 AI606:AI761 AA762:AJ867">
    <cfRule type="cellIs" dxfId="16" priority="26413" operator="greaterThanOrEqual">
      <formula>1</formula>
    </cfRule>
  </conditionalFormatting>
  <conditionalFormatting sqref="AA460:AI605">
    <cfRule type="cellIs" dxfId="15" priority="112" operator="greaterThanOrEqual">
      <formula>1</formula>
    </cfRule>
  </conditionalFormatting>
  <conditionalFormatting sqref="AA605:AI605">
    <cfRule type="expression" dxfId="14" priority="113">
      <formula>$AI605="OK"</formula>
    </cfRule>
  </conditionalFormatting>
  <conditionalFormatting sqref="AA870:AJ871">
    <cfRule type="cellIs" dxfId="13" priority="3" operator="greaterThanOrEqual">
      <formula>1</formula>
    </cfRule>
  </conditionalFormatting>
  <conditionalFormatting sqref="AC454:AC458">
    <cfRule type="cellIs" dxfId="12" priority="53" operator="greaterThanOrEqual">
      <formula>1</formula>
    </cfRule>
    <cfRule type="expression" dxfId="11" priority="52">
      <formula>$AI454="OK"</formula>
    </cfRule>
  </conditionalFormatting>
  <conditionalFormatting sqref="AE453:AE458">
    <cfRule type="expression" dxfId="10" priority="51">
      <formula>$AI453="OK"</formula>
    </cfRule>
  </conditionalFormatting>
  <conditionalFormatting sqref="AF454:AF458">
    <cfRule type="expression" dxfId="9" priority="50">
      <formula>$AI454="OK"</formula>
    </cfRule>
  </conditionalFormatting>
  <conditionalFormatting sqref="AF450:AH451">
    <cfRule type="expression" dxfId="8" priority="1">
      <formula>$AI450="OK"</formula>
    </cfRule>
  </conditionalFormatting>
  <conditionalFormatting sqref="AG454:AG458">
    <cfRule type="expression" dxfId="7" priority="49">
      <formula>$AI454="OK"</formula>
    </cfRule>
  </conditionalFormatting>
  <conditionalFormatting sqref="AI486:AI761 N556:N603">
    <cfRule type="expression" dxfId="6" priority="119">
      <formula>$AI486="OK"</formula>
    </cfRule>
  </conditionalFormatting>
  <conditionalFormatting sqref="AJ153:AW153">
    <cfRule type="expression" dxfId="5" priority="190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2"/>
  <sheetViews>
    <sheetView topLeftCell="A14" workbookViewId="0">
      <selection activeCell="B21" sqref="B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25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  <row r="21" spans="1:6" ht="45" x14ac:dyDescent="0.25">
      <c r="A21" s="225">
        <v>214</v>
      </c>
      <c r="B21" s="191" t="s">
        <v>5040</v>
      </c>
      <c r="C21" s="189">
        <v>46268</v>
      </c>
      <c r="D21" s="189"/>
      <c r="E21" s="190" t="s">
        <v>4972</v>
      </c>
      <c r="F21" s="188" t="s">
        <v>5041</v>
      </c>
    </row>
    <row r="22" spans="1:6" x14ac:dyDescent="0.25">
      <c r="A22" s="225">
        <v>899</v>
      </c>
      <c r="B22" s="188" t="s">
        <v>5047</v>
      </c>
      <c r="C22" s="189">
        <v>46270</v>
      </c>
      <c r="D22" s="189"/>
      <c r="E22" s="190" t="s">
        <v>4972</v>
      </c>
      <c r="F22" s="188" t="s">
        <v>4442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2" t="e" vm="1">
        <v>#VALUE!</v>
      </c>
      <c r="D2" s="273"/>
      <c r="E2" s="276" t="s">
        <v>320</v>
      </c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7"/>
      <c r="U2" s="280" t="s">
        <v>246</v>
      </c>
      <c r="V2" s="270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74"/>
      <c r="D3" s="275"/>
      <c r="E3" s="278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8"/>
      <c r="R3" s="278"/>
      <c r="S3" s="278"/>
      <c r="T3" s="279"/>
      <c r="U3" s="281"/>
      <c r="V3" s="271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0" t="s">
        <v>2070</v>
      </c>
      <c r="D6" s="243" t="s">
        <v>2069</v>
      </c>
      <c r="E6" s="246" t="s">
        <v>2071</v>
      </c>
      <c r="F6" s="249">
        <v>46183</v>
      </c>
      <c r="G6" s="261">
        <v>46220</v>
      </c>
      <c r="H6" s="264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58">
        <f>T9/T6</f>
        <v>0.88949747289203585</v>
      </c>
      <c r="V6" s="237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1"/>
      <c r="D7" s="244"/>
      <c r="E7" s="247"/>
      <c r="F7" s="250"/>
      <c r="G7" s="262"/>
      <c r="H7" s="265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9"/>
      <c r="V7" s="238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1"/>
      <c r="D8" s="244"/>
      <c r="E8" s="247"/>
      <c r="F8" s="250"/>
      <c r="G8" s="262"/>
      <c r="H8" s="265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9"/>
      <c r="V8" s="238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1"/>
      <c r="D9" s="244"/>
      <c r="E9" s="247"/>
      <c r="F9" s="250"/>
      <c r="G9" s="262"/>
      <c r="H9" s="265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9"/>
      <c r="V9" s="238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2"/>
      <c r="D10" s="245"/>
      <c r="E10" s="248"/>
      <c r="F10" s="251"/>
      <c r="G10" s="263"/>
      <c r="H10" s="266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60"/>
      <c r="V10" s="239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0" t="s">
        <v>2987</v>
      </c>
      <c r="D12" s="243" t="s">
        <v>2551</v>
      </c>
      <c r="E12" s="246" t="s">
        <v>2986</v>
      </c>
      <c r="F12" s="249">
        <v>46205</v>
      </c>
      <c r="G12" s="261"/>
      <c r="H12" s="267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8">
        <f>T15/T12</f>
        <v>0.76586952907929418</v>
      </c>
      <c r="V12" s="237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1"/>
      <c r="D13" s="244"/>
      <c r="E13" s="247"/>
      <c r="F13" s="250"/>
      <c r="G13" s="262"/>
      <c r="H13" s="268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9"/>
      <c r="V13" s="238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1"/>
      <c r="D14" s="244"/>
      <c r="E14" s="247"/>
      <c r="F14" s="250"/>
      <c r="G14" s="262"/>
      <c r="H14" s="268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9"/>
      <c r="V14" s="238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1"/>
      <c r="D15" s="244"/>
      <c r="E15" s="247"/>
      <c r="F15" s="250"/>
      <c r="G15" s="262"/>
      <c r="H15" s="268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9"/>
      <c r="V15" s="238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2"/>
      <c r="D16" s="245"/>
      <c r="E16" s="248"/>
      <c r="F16" s="251"/>
      <c r="G16" s="263"/>
      <c r="H16" s="269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60"/>
      <c r="V16" s="239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0" t="s">
        <v>2983</v>
      </c>
      <c r="D18" s="243" t="s">
        <v>2984</v>
      </c>
      <c r="E18" s="246" t="s">
        <v>2985</v>
      </c>
      <c r="F18" s="249">
        <v>46289</v>
      </c>
      <c r="G18" s="261"/>
      <c r="H18" s="255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58">
        <f>T21/T18</f>
        <v>0.66276680266907229</v>
      </c>
      <c r="V18" s="237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1"/>
      <c r="D19" s="244"/>
      <c r="E19" s="247"/>
      <c r="F19" s="250"/>
      <c r="G19" s="262"/>
      <c r="H19" s="256"/>
      <c r="I19" s="129" t="s">
        <v>3028</v>
      </c>
      <c r="J19" s="130">
        <f t="shared" ref="J19" si="17">J18-J20</f>
        <v>6.931899999999998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9.9084000000000003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31.631799999999998</v>
      </c>
      <c r="U19" s="259"/>
      <c r="V19" s="238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1"/>
      <c r="D20" s="244"/>
      <c r="E20" s="247"/>
      <c r="F20" s="250"/>
      <c r="G20" s="262"/>
      <c r="H20" s="256"/>
      <c r="I20" s="129" t="s">
        <v>3030</v>
      </c>
      <c r="J20" s="131">
        <f>SUMIF(PERFORMANCE!$N:$N,W18,PERFORMANCE!$Q:$Q)/1000</f>
        <v>1.1772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1.8479999999999999</v>
      </c>
      <c r="U20" s="259"/>
      <c r="V20" s="238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1"/>
      <c r="D21" s="244"/>
      <c r="E21" s="247"/>
      <c r="F21" s="250"/>
      <c r="G21" s="262"/>
      <c r="H21" s="256"/>
      <c r="I21" s="132" t="s">
        <v>315</v>
      </c>
      <c r="J21" s="131">
        <f>SUMIF(PERFORMANCE!$N:$N,MACRO!W18,PERFORMANCE!$R:$R)/1000</f>
        <v>3.0653000000000001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9.9084000000000003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22.189300000000003</v>
      </c>
      <c r="U21" s="259"/>
      <c r="V21" s="238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2"/>
      <c r="D22" s="245"/>
      <c r="E22" s="248"/>
      <c r="F22" s="251"/>
      <c r="G22" s="263"/>
      <c r="H22" s="257"/>
      <c r="I22" s="133" t="s">
        <v>3029</v>
      </c>
      <c r="J22" s="134">
        <f t="shared" ref="J22:R22" si="28">J18-J21</f>
        <v>5.0437999999999974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11.290499999999994</v>
      </c>
      <c r="U22" s="260"/>
      <c r="V22" s="239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0" t="s">
        <v>3292</v>
      </c>
      <c r="D24" s="243" t="s">
        <v>3291</v>
      </c>
      <c r="E24" s="246" t="s">
        <v>3293</v>
      </c>
      <c r="F24" s="249">
        <v>46336</v>
      </c>
      <c r="G24" s="252"/>
      <c r="H24" s="255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8">
        <v>0</v>
      </c>
      <c r="V24" s="237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1"/>
      <c r="D25" s="244"/>
      <c r="E25" s="247"/>
      <c r="F25" s="250"/>
      <c r="G25" s="253"/>
      <c r="H25" s="256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9"/>
      <c r="V25" s="238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1"/>
      <c r="D26" s="244"/>
      <c r="E26" s="247"/>
      <c r="F26" s="250"/>
      <c r="G26" s="253"/>
      <c r="H26" s="256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9"/>
      <c r="V26" s="238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1"/>
      <c r="D27" s="244"/>
      <c r="E27" s="247"/>
      <c r="F27" s="250"/>
      <c r="G27" s="253"/>
      <c r="H27" s="256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9"/>
      <c r="V27" s="238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2"/>
      <c r="D28" s="245"/>
      <c r="E28" s="248"/>
      <c r="F28" s="251"/>
      <c r="G28" s="254"/>
      <c r="H28" s="257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60"/>
      <c r="V28" s="239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0" t="s">
        <v>2993</v>
      </c>
      <c r="D30" s="243" t="s">
        <v>2989</v>
      </c>
      <c r="E30" s="246" t="s">
        <v>2994</v>
      </c>
      <c r="F30" s="249">
        <v>46219</v>
      </c>
      <c r="G30" s="252"/>
      <c r="H30" s="264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8">
        <v>0</v>
      </c>
      <c r="V30" s="237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1"/>
      <c r="D31" s="244"/>
      <c r="E31" s="247"/>
      <c r="F31" s="250"/>
      <c r="G31" s="253"/>
      <c r="H31" s="265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9"/>
      <c r="V31" s="238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1"/>
      <c r="D32" s="244"/>
      <c r="E32" s="247"/>
      <c r="F32" s="250"/>
      <c r="G32" s="253"/>
      <c r="H32" s="265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9"/>
      <c r="V32" s="238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1"/>
      <c r="D33" s="244"/>
      <c r="E33" s="247"/>
      <c r="F33" s="250"/>
      <c r="G33" s="253"/>
      <c r="H33" s="265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9"/>
      <c r="V33" s="238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2"/>
      <c r="D34" s="245"/>
      <c r="E34" s="248"/>
      <c r="F34" s="251"/>
      <c r="G34" s="254"/>
      <c r="H34" s="266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60"/>
      <c r="V34" s="239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0" t="s">
        <v>2995</v>
      </c>
      <c r="D36" s="243" t="s">
        <v>2990</v>
      </c>
      <c r="E36" s="246" t="s">
        <v>2992</v>
      </c>
      <c r="F36" s="249">
        <v>46198</v>
      </c>
      <c r="G36" s="282"/>
      <c r="H36" s="267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8">
        <v>0</v>
      </c>
      <c r="V36" s="237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1"/>
      <c r="D37" s="244"/>
      <c r="E37" s="247"/>
      <c r="F37" s="250"/>
      <c r="G37" s="283"/>
      <c r="H37" s="268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9"/>
      <c r="V37" s="238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1"/>
      <c r="D38" s="244"/>
      <c r="E38" s="247"/>
      <c r="F38" s="250"/>
      <c r="G38" s="283"/>
      <c r="H38" s="268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9"/>
      <c r="V38" s="238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1"/>
      <c r="D39" s="244"/>
      <c r="E39" s="247"/>
      <c r="F39" s="250"/>
      <c r="G39" s="283"/>
      <c r="H39" s="268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9"/>
      <c r="V39" s="238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2"/>
      <c r="D40" s="245"/>
      <c r="E40" s="248"/>
      <c r="F40" s="251"/>
      <c r="G40" s="284"/>
      <c r="H40" s="269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60"/>
      <c r="V40" s="239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0" t="s">
        <v>3006</v>
      </c>
      <c r="D42" s="243" t="s">
        <v>3004</v>
      </c>
      <c r="E42" s="246" t="s">
        <v>3007</v>
      </c>
      <c r="F42" s="249">
        <v>46188</v>
      </c>
      <c r="G42" s="282">
        <v>46220</v>
      </c>
      <c r="H42" s="264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8">
        <v>0</v>
      </c>
      <c r="V42" s="237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1"/>
      <c r="D43" s="244"/>
      <c r="E43" s="247"/>
      <c r="F43" s="250"/>
      <c r="G43" s="283"/>
      <c r="H43" s="265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9"/>
      <c r="V43" s="238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1"/>
      <c r="D44" s="244"/>
      <c r="E44" s="247"/>
      <c r="F44" s="250"/>
      <c r="G44" s="283"/>
      <c r="H44" s="265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9"/>
      <c r="V44" s="238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1"/>
      <c r="D45" s="244"/>
      <c r="E45" s="247"/>
      <c r="F45" s="250"/>
      <c r="G45" s="283"/>
      <c r="H45" s="265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9"/>
      <c r="V45" s="238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2"/>
      <c r="D46" s="245"/>
      <c r="E46" s="248"/>
      <c r="F46" s="251"/>
      <c r="G46" s="284"/>
      <c r="H46" s="266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60"/>
      <c r="V46" s="239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0" t="s">
        <v>3009</v>
      </c>
      <c r="D48" s="243" t="s">
        <v>3005</v>
      </c>
      <c r="E48" s="246" t="s">
        <v>3008</v>
      </c>
      <c r="F48" s="249">
        <v>46202</v>
      </c>
      <c r="G48" s="282">
        <v>46233</v>
      </c>
      <c r="H48" s="264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8">
        <v>0</v>
      </c>
      <c r="V48" s="237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1"/>
      <c r="D49" s="244"/>
      <c r="E49" s="247"/>
      <c r="F49" s="250"/>
      <c r="G49" s="283"/>
      <c r="H49" s="265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59"/>
      <c r="V49" s="238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1"/>
      <c r="D50" s="244"/>
      <c r="E50" s="247"/>
      <c r="F50" s="250"/>
      <c r="G50" s="283"/>
      <c r="H50" s="265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59"/>
      <c r="V50" s="238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1"/>
      <c r="D51" s="244"/>
      <c r="E51" s="247"/>
      <c r="F51" s="250"/>
      <c r="G51" s="283"/>
      <c r="H51" s="265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59"/>
      <c r="V51" s="238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2"/>
      <c r="D52" s="245"/>
      <c r="E52" s="248"/>
      <c r="F52" s="251"/>
      <c r="G52" s="284"/>
      <c r="H52" s="266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60"/>
      <c r="V52" s="239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0" t="s">
        <v>3009</v>
      </c>
      <c r="D54" s="243" t="s">
        <v>3111</v>
      </c>
      <c r="E54" s="246" t="s">
        <v>3164</v>
      </c>
      <c r="F54" s="249">
        <v>46226</v>
      </c>
      <c r="G54" s="252"/>
      <c r="H54" s="264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8">
        <v>0</v>
      </c>
      <c r="V54" s="237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1"/>
      <c r="D55" s="244"/>
      <c r="E55" s="247"/>
      <c r="F55" s="250"/>
      <c r="G55" s="253"/>
      <c r="H55" s="265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59"/>
      <c r="V55" s="238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1"/>
      <c r="D56" s="244"/>
      <c r="E56" s="247"/>
      <c r="F56" s="250"/>
      <c r="G56" s="253"/>
      <c r="H56" s="265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59"/>
      <c r="V56" s="238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1"/>
      <c r="D57" s="244"/>
      <c r="E57" s="247"/>
      <c r="F57" s="250"/>
      <c r="G57" s="253"/>
      <c r="H57" s="265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59"/>
      <c r="V57" s="238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2"/>
      <c r="D58" s="245"/>
      <c r="E58" s="248"/>
      <c r="F58" s="251"/>
      <c r="G58" s="254"/>
      <c r="H58" s="266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60"/>
      <c r="V58" s="239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0" t="s">
        <v>3165</v>
      </c>
      <c r="D60" s="243" t="s">
        <v>3163</v>
      </c>
      <c r="E60" s="246" t="s">
        <v>3166</v>
      </c>
      <c r="F60" s="249">
        <v>46235</v>
      </c>
      <c r="G60" s="252"/>
      <c r="H60" s="255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8">
        <v>0</v>
      </c>
      <c r="V60" s="237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1"/>
      <c r="D61" s="244"/>
      <c r="E61" s="247"/>
      <c r="F61" s="250"/>
      <c r="G61" s="253"/>
      <c r="H61" s="256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59"/>
      <c r="V61" s="238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1"/>
      <c r="D62" s="244"/>
      <c r="E62" s="247"/>
      <c r="F62" s="250"/>
      <c r="G62" s="253"/>
      <c r="H62" s="256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59"/>
      <c r="V62" s="238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1"/>
      <c r="D63" s="244"/>
      <c r="E63" s="247"/>
      <c r="F63" s="250"/>
      <c r="G63" s="253"/>
      <c r="H63" s="256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59"/>
      <c r="V63" s="238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2"/>
      <c r="D64" s="245"/>
      <c r="E64" s="248"/>
      <c r="F64" s="251"/>
      <c r="G64" s="254"/>
      <c r="H64" s="257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60"/>
      <c r="V64" s="239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0" t="s">
        <v>4307</v>
      </c>
      <c r="D66" s="243" t="s">
        <v>4299</v>
      </c>
      <c r="E66" s="246" t="s">
        <v>4308</v>
      </c>
      <c r="F66" s="249">
        <v>46233</v>
      </c>
      <c r="G66" s="252"/>
      <c r="H66" s="255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8">
        <v>0</v>
      </c>
      <c r="V66" s="237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1"/>
      <c r="D67" s="244"/>
      <c r="E67" s="247"/>
      <c r="F67" s="250"/>
      <c r="G67" s="253"/>
      <c r="H67" s="256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59"/>
      <c r="V67" s="238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1"/>
      <c r="D68" s="244"/>
      <c r="E68" s="247"/>
      <c r="F68" s="250"/>
      <c r="G68" s="253"/>
      <c r="H68" s="256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59"/>
      <c r="V68" s="238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1"/>
      <c r="D69" s="244"/>
      <c r="E69" s="247"/>
      <c r="F69" s="250"/>
      <c r="G69" s="253"/>
      <c r="H69" s="256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59"/>
      <c r="V69" s="238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2"/>
      <c r="D70" s="245"/>
      <c r="E70" s="248"/>
      <c r="F70" s="251"/>
      <c r="G70" s="254"/>
      <c r="H70" s="257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60"/>
      <c r="V70" s="239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0" t="s">
        <v>3165</v>
      </c>
      <c r="D72" s="243" t="s">
        <v>4306</v>
      </c>
      <c r="E72" s="246" t="s">
        <v>4309</v>
      </c>
      <c r="F72" s="249">
        <v>46280</v>
      </c>
      <c r="G72" s="252"/>
      <c r="H72" s="255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8">
        <v>0</v>
      </c>
      <c r="V72" s="237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1"/>
      <c r="D73" s="244"/>
      <c r="E73" s="247"/>
      <c r="F73" s="250"/>
      <c r="G73" s="253"/>
      <c r="H73" s="256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9"/>
      <c r="V73" s="238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1"/>
      <c r="D74" s="244"/>
      <c r="E74" s="247"/>
      <c r="F74" s="250"/>
      <c r="G74" s="253"/>
      <c r="H74" s="256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9"/>
      <c r="V74" s="238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1"/>
      <c r="D75" s="244"/>
      <c r="E75" s="247"/>
      <c r="F75" s="250"/>
      <c r="G75" s="253"/>
      <c r="H75" s="256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9"/>
      <c r="V75" s="238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2"/>
      <c r="D76" s="245"/>
      <c r="E76" s="248"/>
      <c r="F76" s="251"/>
      <c r="G76" s="254"/>
      <c r="H76" s="257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60"/>
      <c r="V76" s="239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85" t="s">
        <v>326</v>
      </c>
      <c r="E79" s="287" t="s">
        <v>891</v>
      </c>
      <c r="F79" s="288"/>
      <c r="G79" s="288"/>
      <c r="H79" s="288"/>
      <c r="I79" s="288"/>
      <c r="J79" s="289"/>
      <c r="K79" s="290" t="s">
        <v>331</v>
      </c>
      <c r="L79" s="291"/>
      <c r="M79" s="291"/>
      <c r="N79" s="29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8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7.9078999999999979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10.046400000000002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34.033299999999997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17.277200000000001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63.565199999999997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16.941300000000002</v>
      </c>
      <c r="F86" s="98">
        <f t="shared" si="235"/>
        <v>0</v>
      </c>
      <c r="G86" s="98">
        <f t="shared" si="235"/>
        <v>3.3136999999999999</v>
      </c>
      <c r="H86" s="98">
        <f t="shared" si="235"/>
        <v>12.960799999999999</v>
      </c>
      <c r="I86" s="98">
        <f t="shared" si="235"/>
        <v>11.9184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77.304200000000009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7.8437999999999972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6.5799999999999415E-2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19.787699999999994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38"/>
  <sheetViews>
    <sheetView topLeftCell="C1" zoomScaleNormal="100" workbookViewId="0">
      <pane ySplit="1" topLeftCell="A5125" activePane="bottomLeft" state="frozen"/>
      <selection pane="bottomLeft" activeCell="F5137" sqref="F5137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5030</v>
      </c>
      <c r="J5121" s="1">
        <v>4.0999999999999996</v>
      </c>
      <c r="K5121" s="1">
        <v>122.99999999999999</v>
      </c>
      <c r="L5121" s="42">
        <v>1</v>
      </c>
      <c r="M5121" s="223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3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3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3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3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3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3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3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3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5031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3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3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3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3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3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3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5048</v>
      </c>
      <c r="J5136" s="1">
        <v>19.8</v>
      </c>
      <c r="K5136" s="1">
        <v>99</v>
      </c>
      <c r="L5136" s="42">
        <v>1</v>
      </c>
      <c r="M5136" s="223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3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5050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3">
        <v>46247</v>
      </c>
      <c r="N5138" s="1" t="str">
        <f>VLOOKUP(B5138,MICRO!E:L,8,0)</f>
        <v>P-198</v>
      </c>
    </row>
  </sheetData>
  <autoFilter ref="A1:O5121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38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4646.3919999999998</v>
      </c>
      <c r="I357" s="113">
        <f>SUMIF(MICRO!AP:AP,O:O,MICRO!T:T)</f>
        <v>-2426.3000000000002</v>
      </c>
      <c r="J357" s="114">
        <f t="shared" si="130"/>
        <v>0.7227913633252443</v>
      </c>
      <c r="K357" s="113">
        <f>SUMIF(MICRO!AP:AP,O:O,MICRO!X:X)</f>
        <v>2819.3</v>
      </c>
      <c r="L357" s="114">
        <f t="shared" si="131"/>
        <v>0.43856947296372362</v>
      </c>
      <c r="M357" s="113">
        <f t="shared" si="132"/>
        <v>3609.0999999999985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1177.2</v>
      </c>
      <c r="R357">
        <f>SUMIF(MICRO!AP:AP,O:O,MICRO!AU:AU)</f>
        <v>2824.9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1212.6692499999999</v>
      </c>
      <c r="I359" s="113">
        <f>SUMIF(MICRO!AP:AP,O:O,MICRO!T:T)</f>
        <v>-1440.3000000000002</v>
      </c>
      <c r="J359" s="114">
        <f t="shared" si="130"/>
        <v>0.72152629856607364</v>
      </c>
      <c r="K359" s="113">
        <f>SUMIF(MICRO!AP:AP,O:O,MICRO!X:X)</f>
        <v>240.4</v>
      </c>
      <c r="L359" s="114">
        <f t="shared" si="131"/>
        <v>0.14303563991194146</v>
      </c>
      <c r="M359" s="113">
        <f t="shared" si="132"/>
        <v>1440.3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240.4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2026-08-17T12:46:40Z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